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M:\VS Code\"/>
    </mc:Choice>
  </mc:AlternateContent>
  <xr:revisionPtr revIDLastSave="0" documentId="13_ncr:1_{9695135E-7377-4430-B013-755E58C11CCD}" xr6:coauthVersionLast="47" xr6:coauthVersionMax="47" xr10:uidLastSave="{00000000-0000-0000-0000-000000000000}"/>
  <bookViews>
    <workbookView xWindow="-120" yWindow="-120" windowWidth="29040" windowHeight="15720" activeTab="2" xr2:uid="{67FF8309-4422-4B66-8CC2-B4BEF09FBE29}"/>
  </bookViews>
  <sheets>
    <sheet name="netinc" sheetId="1" r:id="rId1"/>
    <sheet name="Sheet2" sheetId="2" r:id="rId2"/>
    <sheet name="Sheet3" sheetId="3" r:id="rId3"/>
  </sheets>
  <functionGroups builtInGroupCount="19"/>
  <definedNames>
    <definedName name="_xlnm._FilterDatabase" localSheetId="0" hidden="1">netinc!$A$1:$D$125</definedName>
    <definedName name="_xlnm._FilterDatabase" localSheetId="1" hidden="1">Sheet2!$A$1:$D$111</definedName>
  </definedNames>
  <calcPr calcId="191028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3" l="1"/>
  <c r="R5" i="3" s="1"/>
  <c r="S4" i="2"/>
  <c r="R4" i="2" s="1"/>
  <c r="S4" i="1"/>
  <c r="R4" i="1" s="1"/>
  <c r="H626" i="1" a="1"/>
  <c r="R4" i="3" l="1"/>
  <c r="R5" i="2"/>
  <c r="R5" i="1"/>
  <c r="H626" i="1"/>
  <c r="A1" i="3" a="1"/>
  <c r="A1" i="2" a="1"/>
  <c r="A1" i="1" a="1"/>
  <c r="A1" i="3" l="1"/>
  <c r="A1" i="1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<sst xmlns="http://schemas.openxmlformats.org/spreadsheetml/2006/main" count="543" uniqueCount="180">
  <si>
    <t>TRAIL_12M_NET_INC</t>
  </si>
  <si>
    <t>FA_ADJUSTED</t>
  </si>
  <si>
    <t>GAAP</t>
  </si>
  <si>
    <t>TRAIL_12M_EBITDA</t>
  </si>
  <si>
    <t>SUZB3 BZ Equity</t>
  </si>
  <si>
    <t>BBDC3 BZ Equity</t>
  </si>
  <si>
    <t>RENT3 BZ Equity</t>
  </si>
  <si>
    <t>ITUB3 BZ Equity</t>
  </si>
  <si>
    <t>SANB3 BZ Equity</t>
  </si>
  <si>
    <t>ECOR3 BZ Equity</t>
  </si>
  <si>
    <t>JBSS3 BZ Equity</t>
  </si>
  <si>
    <t>VALE3 BZ Equity</t>
  </si>
  <si>
    <t>GFSA3 BZ Equity</t>
  </si>
  <si>
    <t>ABEV3 BZ Equity</t>
  </si>
  <si>
    <t>HAPV3 BZ Equity</t>
  </si>
  <si>
    <t>RDOR3 BZ Equity</t>
  </si>
  <si>
    <t>B3SA3 BZ Equity</t>
  </si>
  <si>
    <t>BRFS3 BZ Equity</t>
  </si>
  <si>
    <t>CSAN3 BZ Equity</t>
  </si>
  <si>
    <t>GGPS3 BZ Equity</t>
  </si>
  <si>
    <t>PRIO3 BZ Equity</t>
  </si>
  <si>
    <t>CSNA3 BZ Equity</t>
  </si>
  <si>
    <t>CIEL3 BZ Equity</t>
  </si>
  <si>
    <t>ASAI3 BZ Equity</t>
  </si>
  <si>
    <t>ALOS3 BZ Equity</t>
  </si>
  <si>
    <t>BRKM3 BZ Equity</t>
  </si>
  <si>
    <t>VBBR3 BZ Equity</t>
  </si>
  <si>
    <t>UGPA3 BZ Equity</t>
  </si>
  <si>
    <t>ELET3 BZ Equity</t>
  </si>
  <si>
    <t>BEEF3 BZ Equity</t>
  </si>
  <si>
    <t>RRRP3 BZ Equity</t>
  </si>
  <si>
    <t>RADL3 BZ Equity</t>
  </si>
  <si>
    <t>AMER3 BZ Equity</t>
  </si>
  <si>
    <t>MULT3 BZ Equity</t>
  </si>
  <si>
    <t>ONCO3 BZ Equity</t>
  </si>
  <si>
    <t>NEOE3 BZ Equity</t>
  </si>
  <si>
    <t>PCAR3 BZ Equity</t>
  </si>
  <si>
    <t>TOTS3 BZ Equity</t>
  </si>
  <si>
    <t>DXCO3 BZ Equity</t>
  </si>
  <si>
    <t>SIMH3 BZ Equity</t>
  </si>
  <si>
    <t>DASA3 BZ Equity</t>
  </si>
  <si>
    <t>TIMS3 BZ Equity</t>
  </si>
  <si>
    <t>RAIL3 BZ Equity</t>
  </si>
  <si>
    <t>COGN3 BZ Equity</t>
  </si>
  <si>
    <t>MRFG3 BZ Equity</t>
  </si>
  <si>
    <t>QUAL3 BZ Equity</t>
  </si>
  <si>
    <t>CRFB3 BZ Equity</t>
  </si>
  <si>
    <t>CCRO3 BZ Equity</t>
  </si>
  <si>
    <t>LREN3 BZ Equity</t>
  </si>
  <si>
    <t>VIVT3 BZ Equity</t>
  </si>
  <si>
    <t>TUPY3 BZ Equity</t>
  </si>
  <si>
    <t>CURY3 BZ Equity</t>
  </si>
  <si>
    <t>EQTL3 BZ Equity</t>
  </si>
  <si>
    <t>MDIA3 BZ Equity</t>
  </si>
  <si>
    <t>OIBR3 BZ Equity</t>
  </si>
  <si>
    <t>ENEV3 BZ Equity</t>
  </si>
  <si>
    <t>SMFT3 BZ Equity</t>
  </si>
  <si>
    <t>EMBR3 BZ Equity</t>
  </si>
  <si>
    <t>FLRY3 BZ Equity</t>
  </si>
  <si>
    <t>PETR3 BZ Equity</t>
  </si>
  <si>
    <t>HYPE3 BZ Equity</t>
  </si>
  <si>
    <t>JHSF3 BZ Equity</t>
  </si>
  <si>
    <t>NTCO3 BZ Equity</t>
  </si>
  <si>
    <t>YDUQ3 BZ Equity</t>
  </si>
  <si>
    <t>MILS3 BZ Equity</t>
  </si>
  <si>
    <t>MATD3 BZ Equity</t>
  </si>
  <si>
    <t>IRBR3 BZ Equity</t>
  </si>
  <si>
    <t>CYRE3 BZ Equity</t>
  </si>
  <si>
    <t>AURE3 BZ Equity</t>
  </si>
  <si>
    <t>PETZ3 BZ Equity</t>
  </si>
  <si>
    <t>CEAB3 BZ Equity</t>
  </si>
  <si>
    <t>ODPV3 BZ Equity</t>
  </si>
  <si>
    <t>GMAT3 BZ Equity</t>
  </si>
  <si>
    <t>TEND3 BZ Equity</t>
  </si>
  <si>
    <t>RANI3 BZ Equity</t>
  </si>
  <si>
    <t>RECV3 BZ Equity</t>
  </si>
  <si>
    <t>MGLU3 BZ Equity</t>
  </si>
  <si>
    <t>PGMN3 BZ Equity</t>
  </si>
  <si>
    <t>SEER3 BZ Equity</t>
  </si>
  <si>
    <t>CMIN3 BZ Equity</t>
  </si>
  <si>
    <t>PLPL3 BZ Equity</t>
  </si>
  <si>
    <t>STBP3 BZ Equity</t>
  </si>
  <si>
    <t>SBFG3 BZ Equity</t>
  </si>
  <si>
    <t>EVEN3 BZ Equity</t>
  </si>
  <si>
    <t>VAMO3 BZ Equity</t>
  </si>
  <si>
    <t>MOVI3 BZ Equity</t>
  </si>
  <si>
    <t>CBAV3 BZ Equity</t>
  </si>
  <si>
    <t>LJQQ3 BZ Equity</t>
  </si>
  <si>
    <t>MEAL3 BZ Equity</t>
  </si>
  <si>
    <t>GUAR3 BZ Equity</t>
  </si>
  <si>
    <t>LIGT3 BZ Equity</t>
  </si>
  <si>
    <t>EZTC3 BZ Equity</t>
  </si>
  <si>
    <t>INTB3 BZ Equity</t>
  </si>
  <si>
    <t>CPFE3 BZ Equity</t>
  </si>
  <si>
    <t>SLCE3 BZ Equity</t>
  </si>
  <si>
    <t>ELMD3 BZ Equity</t>
  </si>
  <si>
    <t>MELK3 BZ Equity</t>
  </si>
  <si>
    <t>PSSA3 BZ Equity</t>
  </si>
  <si>
    <t>VULC3 BZ Equity</t>
  </si>
  <si>
    <t>LWSA3 BZ Equity</t>
  </si>
  <si>
    <t>TCSA3 BZ Equity</t>
  </si>
  <si>
    <t>ANIM3 BZ Equity</t>
  </si>
  <si>
    <t>VIVA3 BZ Equity</t>
  </si>
  <si>
    <t>HBOR3 BZ Equity</t>
  </si>
  <si>
    <t>HBSA3 BZ Equity</t>
  </si>
  <si>
    <t>CSUD3 BZ Equity</t>
  </si>
  <si>
    <t>WEGE3 BZ Equity</t>
  </si>
  <si>
    <t>NGRD3 BZ Equity</t>
  </si>
  <si>
    <t>BMOB3 BZ Equity</t>
  </si>
  <si>
    <t>TTEN3 BZ Equity</t>
  </si>
  <si>
    <t>AESB3 BZ Equity</t>
  </si>
  <si>
    <t>ARML3 BZ Equity</t>
  </si>
  <si>
    <t>MDNE3 BZ Equity</t>
  </si>
  <si>
    <t>LOGG3 BZ Equity</t>
  </si>
  <si>
    <t>ORVR3 BZ Equity</t>
  </si>
  <si>
    <t>WIZC3 BZ Equity</t>
  </si>
  <si>
    <t>MTRE3 BZ Equity</t>
  </si>
  <si>
    <t>POSI3 BZ Equity</t>
  </si>
  <si>
    <t>DIRR3 BZ Equity</t>
  </si>
  <si>
    <t>CASH3 BZ Equity</t>
  </si>
  <si>
    <t>AERI3 BZ Equity</t>
  </si>
  <si>
    <t>BRAP3 BZ Equity</t>
  </si>
  <si>
    <t>IFCM3 BZ Equity</t>
  </si>
  <si>
    <t>AMAR3 BZ Equity</t>
  </si>
  <si>
    <t>AURA33 BZ Equity</t>
  </si>
  <si>
    <t>PFRM3 BZ Equity</t>
  </si>
  <si>
    <t>ALLD3 BZ Equity</t>
  </si>
  <si>
    <t>ELPL3 BZ Equity</t>
  </si>
  <si>
    <t>VITT3 BZ Equity</t>
  </si>
  <si>
    <t>LPSB3 BZ Equity</t>
  </si>
  <si>
    <t>FRAS3 BZ Equity</t>
  </si>
  <si>
    <t>CSMG3 BZ Equity</t>
  </si>
  <si>
    <t>DMVF3 BZ Equity</t>
  </si>
  <si>
    <t>SOJA3 BZ Equity</t>
  </si>
  <si>
    <t>CEEB3 BZ Equity</t>
  </si>
  <si>
    <t>SBSP3 BZ Equity</t>
  </si>
  <si>
    <t>AALR3 BZ Equity</t>
  </si>
  <si>
    <t>KLBN11 BZ Equity</t>
  </si>
  <si>
    <t>AZZA3 BZ Equity</t>
  </si>
  <si>
    <t>ZAMP3 BZ Equity</t>
  </si>
  <si>
    <t>BRBI11 BZ Equity</t>
  </si>
  <si>
    <t>TAEE11 BZ Equity</t>
  </si>
  <si>
    <t>VVEO3 BZ Equity</t>
  </si>
  <si>
    <t>ABCB4 BZ Equity</t>
  </si>
  <si>
    <t>PORT3 BZ Equity</t>
  </si>
  <si>
    <t>BMGB4 BZ Equity</t>
  </si>
  <si>
    <t>INBR32 BZ Equity</t>
  </si>
  <si>
    <t>AZUL4 BZ Equity</t>
  </si>
  <si>
    <t>CPLE6 BZ Equity</t>
  </si>
  <si>
    <t>ITSA4 BZ Equity</t>
  </si>
  <si>
    <t>BHIA3 BZ Equity</t>
  </si>
  <si>
    <t>PINE4 BZ Equity</t>
  </si>
  <si>
    <t>FESA4 BZ Equity</t>
  </si>
  <si>
    <t>BPAN4 BZ Equity</t>
  </si>
  <si>
    <t>UNIP6 BZ Equity</t>
  </si>
  <si>
    <t>GGBR4 BZ Equity</t>
  </si>
  <si>
    <t>ALPA4 BZ Equity</t>
  </si>
  <si>
    <t>BPAC11 BZ Equity</t>
  </si>
  <si>
    <t>MYPK3 BZ Equity</t>
  </si>
  <si>
    <t>JSLG3 BZ Equity</t>
  </si>
  <si>
    <t>OPCT3 BZ Equity</t>
  </si>
  <si>
    <t>RAPT4 BZ Equity</t>
  </si>
  <si>
    <t>CVCB3 BZ Equity</t>
  </si>
  <si>
    <t>VTRU3 BZ Equity</t>
  </si>
  <si>
    <t>TASA4 BZ Equity</t>
  </si>
  <si>
    <t>POMO4 BZ Equity</t>
  </si>
  <si>
    <t>IGTI3 BZ Equity</t>
  </si>
  <si>
    <t>CMIG4 BZ Equity</t>
  </si>
  <si>
    <t>SCAR3 BZ Equity</t>
  </si>
  <si>
    <t>VSTE3 BZ Equity</t>
  </si>
  <si>
    <t>BRSR6 BZ Equity</t>
  </si>
  <si>
    <t>ENJU3 BZ Equity</t>
  </si>
  <si>
    <t>COCE5 BZ Equity</t>
  </si>
  <si>
    <t>TRPL4 BZ Equity</t>
  </si>
  <si>
    <t>TFCO4 BZ Equity</t>
  </si>
  <si>
    <t>ENGI11 BZ Equity</t>
  </si>
  <si>
    <t>CLSC4 BZ Equity</t>
  </si>
  <si>
    <t>EUCA4 BZ Equity</t>
  </si>
  <si>
    <t>TECN3 BZ Equity</t>
  </si>
  <si>
    <t>CUR_MKT_CAP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</si>
</sst>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15" fontId="0" fillId="0" borderId="0" xfId="0" applyNumberFormat="1"/>
    <xf numFmtId="4" fontId="0" fillId="0" borderId="0" xfId="0" applyNumberFormat="1"/>
    <xf numFmtId="14" fontId="0" fillId="0" borderId="0" xfId="0" applyNumberFormat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E23F3-70F4-475C-971A-8867B6F941E6}">
  <sheetPr codeName="Sheet1"/>
  <dimension ref="A1:W640"/>
  <sheetViews>
    <sheetView showGridLines="0" topLeftCell="A145" workbookViewId="0">
      <selection activeCell="P4" sqref="P4:P181"/>
    </sheetView>
  </sheetViews>
  <sheetFormatPr defaultRowHeight="15" x14ac:dyDescent="0.25"/>
  <cols>
    <col min="1" max="1" width="14.7109375" bestFit="1" customWidth="1"/>
    <col min="2" max="2" width="10.42578125" bestFit="1" customWidth="1"/>
    <col min="3" max="3" width="18.7109375" bestFit="1" customWidth="1"/>
    <col min="4" max="4" width="16.7109375" style="4" bestFit="1" customWidth="1"/>
    <col min="16" max="16" width="23.5703125" bestFit="1" customWidth="1"/>
    <col min="17" max="17" width="22.5703125" bestFit="1" customWidth="1"/>
    <col min="18" max="18" width="10.28515625" bestFit="1" customWidth="1"/>
    <col min="19" max="19" width="10.42578125" bestFit="1" customWidth="1"/>
    <col min="20" max="20" width="16.7109375" bestFit="1" customWidth="1"/>
    <col min="23" max="23" width="8.85546875" style="1"/>
  </cols>
  <sheetData>
    <row r="1" spans="1:19" x14ac:dyDescent="0.25">
      <c r="A1" t="str" cm="1">
        <f t="array" aca="1" ref="A1:D176" ca="1">bdh(P4:P181,Q4:Q5,R4,R5,,P621:Q621,1)</f>
        <v>NM_TICKER</v>
      </c>
      <c r="B1" t="str">
        <f ca="1"/>
        <v>DATA</v>
      </c>
      <c r="C1" t="str">
        <f ca="1"/>
        <v>NM_FIELD</v>
      </c>
      <c r="D1" s="4" t="str">
        <f ca="1"/>
        <v>VL_FIELD</v>
      </c>
    </row>
    <row r="2" spans="1:19" x14ac:dyDescent="0.25">
      <c r="A2" t="str">
        <f ca="1"/>
        <v>CEEB3 BZ Equity</v>
      </c>
      <c r="B2" s="1" t="str">
        <f ca="1"/>
        <v>2024-10-28</v>
      </c>
      <c r="C2" t="str">
        <f ca="1"/>
        <v>TRAIL_12M_NET_INC</v>
      </c>
      <c r="D2" s="4" t="str">
        <f ca="1"/>
        <v>1748.000000</v>
      </c>
    </row>
    <row r="3" spans="1:19" x14ac:dyDescent="0.25">
      <c r="A3" t="str">
        <f ca="1"/>
        <v>SBSP3 BZ Equity</v>
      </c>
      <c r="B3" s="1" t="str">
        <f ca="1"/>
        <v>2024-10-28</v>
      </c>
      <c r="C3" t="str">
        <f ca="1"/>
        <v>TRAIL_12M_NET_INC</v>
      </c>
      <c r="D3" s="4" t="str">
        <f ca="1"/>
        <v>4065.336000</v>
      </c>
    </row>
    <row r="4" spans="1:19" x14ac:dyDescent="0.25">
      <c r="A4" t="str">
        <f ca="1"/>
        <v>ZAMP3 BZ Equity</v>
      </c>
      <c r="B4" s="1" t="str">
        <f ca="1"/>
        <v>2024-10-28</v>
      </c>
      <c r="C4" t="str">
        <f ca="1"/>
        <v>TRAIL_12M_NET_INC</v>
      </c>
      <c r="D4" s="4" t="str">
        <f ca="1"/>
        <v>-97.433000</v>
      </c>
      <c r="P4" t="s">
        <v>5</v>
      </c>
      <c r="Q4" t="s">
        <v>0</v>
      </c>
      <c r="R4" s="1">
        <f ca="1">S4</f>
        <v>45593</v>
      </c>
      <c r="S4" s="3">
        <f ca="1">TODAY()</f>
        <v>45593</v>
      </c>
    </row>
    <row r="5" spans="1:19" x14ac:dyDescent="0.25">
      <c r="A5" t="str">
        <f ca="1"/>
        <v>FLRY3 BZ Equity</v>
      </c>
      <c r="B5" s="1" t="str">
        <f ca="1"/>
        <v>2024-10-28</v>
      </c>
      <c r="C5" t="str">
        <f ca="1"/>
        <v>TRAIL_12M_NET_INC</v>
      </c>
      <c r="D5" s="4" t="str">
        <f ca="1"/>
        <v>597.023000</v>
      </c>
      <c r="P5" t="s">
        <v>7</v>
      </c>
      <c r="R5" s="1">
        <f ca="1">S4</f>
        <v>45593</v>
      </c>
    </row>
    <row r="6" spans="1:19" x14ac:dyDescent="0.25">
      <c r="A6" t="str">
        <f ca="1"/>
        <v>PETR3 BZ Equity</v>
      </c>
      <c r="B6" s="1" t="str">
        <f ca="1"/>
        <v>2024-10-28</v>
      </c>
      <c r="C6" t="str">
        <f ca="1"/>
        <v>TRAIL_12M_NET_INC</v>
      </c>
      <c r="D6" s="4" t="str">
        <f ca="1"/>
        <v>78763.000000</v>
      </c>
      <c r="P6" t="s">
        <v>8</v>
      </c>
      <c r="R6" s="1"/>
    </row>
    <row r="7" spans="1:19" x14ac:dyDescent="0.25">
      <c r="A7" t="str">
        <f ca="1"/>
        <v>HYPE3 BZ Equity</v>
      </c>
      <c r="B7" s="1" t="str">
        <f ca="1"/>
        <v>2024-10-28</v>
      </c>
      <c r="C7" t="str">
        <f ca="1"/>
        <v>TRAIL_12M_NET_INC</v>
      </c>
      <c r="D7" s="4" t="str">
        <f ca="1"/>
        <v>1691.538000</v>
      </c>
      <c r="P7" t="s">
        <v>10</v>
      </c>
      <c r="R7" s="1"/>
    </row>
    <row r="8" spans="1:19" x14ac:dyDescent="0.25">
      <c r="A8" t="str">
        <f ca="1"/>
        <v>JHSF3 BZ Equity</v>
      </c>
      <c r="B8" s="1" t="str">
        <f ca="1"/>
        <v>2024-10-28</v>
      </c>
      <c r="C8" t="str">
        <f ca="1"/>
        <v>TRAIL_12M_NET_INC</v>
      </c>
      <c r="D8" s="4" t="str">
        <f ca="1"/>
        <v>548.441000</v>
      </c>
      <c r="P8" t="s">
        <v>11</v>
      </c>
      <c r="R8" s="1"/>
    </row>
    <row r="9" spans="1:19" x14ac:dyDescent="0.25">
      <c r="A9" t="str">
        <f ca="1"/>
        <v>NTCO3 BZ Equity</v>
      </c>
      <c r="B9" s="1" t="str">
        <f ca="1"/>
        <v>2024-10-28</v>
      </c>
      <c r="C9" t="str">
        <f ca="1"/>
        <v>TRAIL_12M_NET_INC</v>
      </c>
      <c r="D9" s="4" t="str">
        <f ca="1"/>
        <v>2564.279000</v>
      </c>
      <c r="P9" t="s">
        <v>4</v>
      </c>
      <c r="R9" s="1"/>
    </row>
    <row r="10" spans="1:19" x14ac:dyDescent="0.25">
      <c r="A10" t="str">
        <f ca="1"/>
        <v>YDUQ3 BZ Equity</v>
      </c>
      <c r="B10" s="1" t="str">
        <f ca="1"/>
        <v>2024-10-28</v>
      </c>
      <c r="C10" t="str">
        <f ca="1"/>
        <v>TRAIL_12M_NET_INC</v>
      </c>
      <c r="D10" s="4" t="str">
        <f ca="1"/>
        <v>146.397000</v>
      </c>
      <c r="P10" t="s">
        <v>12</v>
      </c>
      <c r="R10" s="1"/>
    </row>
    <row r="11" spans="1:19" x14ac:dyDescent="0.25">
      <c r="A11" t="str">
        <f ca="1"/>
        <v>FESA4 BZ Equity</v>
      </c>
      <c r="B11" s="1" t="str">
        <f ca="1"/>
        <v>2024-10-28</v>
      </c>
      <c r="C11" t="str">
        <f ca="1"/>
        <v>TRAIL_12M_NET_INC</v>
      </c>
      <c r="D11" s="4" t="str">
        <f ca="1"/>
        <v>227.243000</v>
      </c>
      <c r="P11" t="s">
        <v>13</v>
      </c>
      <c r="R11" s="1"/>
    </row>
    <row r="12" spans="1:19" x14ac:dyDescent="0.25">
      <c r="A12" t="str">
        <f ca="1"/>
        <v>MYPK3 BZ Equity</v>
      </c>
      <c r="B12" s="1" t="str">
        <f ca="1"/>
        <v>2024-10-28</v>
      </c>
      <c r="C12" t="str">
        <f ca="1"/>
        <v>TRAIL_12M_NET_INC</v>
      </c>
      <c r="D12" s="4" t="str">
        <f ca="1"/>
        <v>74.896000</v>
      </c>
      <c r="P12" t="s">
        <v>143</v>
      </c>
      <c r="R12" s="1"/>
    </row>
    <row r="13" spans="1:19" x14ac:dyDescent="0.25">
      <c r="A13" t="str">
        <f ca="1"/>
        <v>BMGB4 BZ Equity</v>
      </c>
      <c r="B13" s="1" t="str">
        <f ca="1"/>
        <v>2024-10-28</v>
      </c>
      <c r="C13" t="str">
        <f ca="1"/>
        <v>TRAIL_12M_NET_INC</v>
      </c>
      <c r="D13" s="4" t="str">
        <f ca="1"/>
        <v>397.228000</v>
      </c>
      <c r="P13" t="s">
        <v>144</v>
      </c>
      <c r="R13" s="1"/>
    </row>
    <row r="14" spans="1:19" x14ac:dyDescent="0.25">
      <c r="A14" t="str">
        <f ca="1"/>
        <v>AURA33 BZ Equity</v>
      </c>
      <c r="B14" s="1" t="str">
        <f ca="1"/>
        <v>2024-10-28</v>
      </c>
      <c r="C14" t="str">
        <f ca="1"/>
        <v>TRAIL_12M_NET_INC</v>
      </c>
      <c r="D14" s="4" t="str">
        <f ca="1"/>
        <v>-33.140000</v>
      </c>
      <c r="P14" t="s">
        <v>14</v>
      </c>
      <c r="R14" s="1"/>
    </row>
    <row r="15" spans="1:19" x14ac:dyDescent="0.25">
      <c r="A15" t="str">
        <f ca="1"/>
        <v>MGLU3 BZ Equity</v>
      </c>
      <c r="B15" s="1" t="str">
        <f ca="1"/>
        <v>2024-10-28</v>
      </c>
      <c r="C15" t="str">
        <f ca="1"/>
        <v>TRAIL_12M_NET_INC</v>
      </c>
      <c r="D15" s="4" t="str">
        <f ca="1"/>
        <v>-327.159000</v>
      </c>
      <c r="P15" t="s">
        <v>15</v>
      </c>
      <c r="R15" s="1"/>
    </row>
    <row r="16" spans="1:19" x14ac:dyDescent="0.25">
      <c r="A16" t="str">
        <f ca="1"/>
        <v>PGMN3 BZ Equity</v>
      </c>
      <c r="B16" s="1" t="str">
        <f ca="1"/>
        <v>2024-10-28</v>
      </c>
      <c r="C16" t="str">
        <f ca="1"/>
        <v>TRAIL_12M_NET_INC</v>
      </c>
      <c r="D16" s="4" t="str">
        <f ca="1"/>
        <v>0.219000</v>
      </c>
      <c r="P16" t="s">
        <v>16</v>
      </c>
      <c r="R16" s="1"/>
    </row>
    <row r="17" spans="1:18" x14ac:dyDescent="0.25">
      <c r="A17" t="str">
        <f ca="1"/>
        <v>CMIN3 BZ Equity</v>
      </c>
      <c r="B17" s="1" t="str">
        <f ca="1"/>
        <v>2024-10-28</v>
      </c>
      <c r="C17" t="str">
        <f ca="1"/>
        <v>TRAIL_12M_NET_INC</v>
      </c>
      <c r="D17" s="4" t="str">
        <f ca="1"/>
        <v>4624.138000</v>
      </c>
      <c r="P17" t="s">
        <v>6</v>
      </c>
      <c r="R17" s="1"/>
    </row>
    <row r="18" spans="1:18" x14ac:dyDescent="0.25">
      <c r="A18" t="str">
        <f ca="1"/>
        <v>PLPL3 BZ Equity</v>
      </c>
      <c r="B18" s="1" t="str">
        <f ca="1"/>
        <v>2024-10-28</v>
      </c>
      <c r="C18" t="str">
        <f ca="1"/>
        <v>TRAIL_12M_NET_INC</v>
      </c>
      <c r="D18" s="4" t="str">
        <f ca="1"/>
        <v>295.604000</v>
      </c>
      <c r="P18" t="s">
        <v>17</v>
      </c>
      <c r="R18" s="1"/>
    </row>
    <row r="19" spans="1:18" x14ac:dyDescent="0.25">
      <c r="A19" t="str">
        <f ca="1"/>
        <v>STBP3 BZ Equity</v>
      </c>
      <c r="B19" s="1" t="str">
        <f ca="1"/>
        <v>2024-10-28</v>
      </c>
      <c r="C19" t="str">
        <f ca="1"/>
        <v>TRAIL_12M_NET_INC</v>
      </c>
      <c r="D19" s="4" t="str">
        <f ca="1"/>
        <v>683.556000</v>
      </c>
      <c r="P19" t="s">
        <v>18</v>
      </c>
      <c r="R19" s="1"/>
    </row>
    <row r="20" spans="1:18" x14ac:dyDescent="0.25">
      <c r="A20" t="str">
        <f ca="1"/>
        <v>BPAC11 BZ Equity</v>
      </c>
      <c r="B20" s="1" t="str">
        <f ca="1"/>
        <v>2024-10-28</v>
      </c>
      <c r="C20" t="str">
        <f ca="1"/>
        <v>TRAIL_12M_NET_INC</v>
      </c>
      <c r="D20" s="4" t="str">
        <f ca="1"/>
        <v>10947.155000</v>
      </c>
      <c r="P20" t="s">
        <v>19</v>
      </c>
      <c r="R20" s="1"/>
    </row>
    <row r="21" spans="1:18" x14ac:dyDescent="0.25">
      <c r="A21" t="str">
        <f ca="1"/>
        <v>EVEN3 BZ Equity</v>
      </c>
      <c r="B21" s="1" t="str">
        <f ca="1"/>
        <v>2024-10-28</v>
      </c>
      <c r="C21" t="str">
        <f ca="1"/>
        <v>TRAIL_12M_NET_INC</v>
      </c>
      <c r="D21" s="4" t="str">
        <f ca="1"/>
        <v>271.174000</v>
      </c>
      <c r="P21" t="s">
        <v>20</v>
      </c>
      <c r="R21" s="1"/>
    </row>
    <row r="22" spans="1:18" x14ac:dyDescent="0.25">
      <c r="A22" t="str">
        <f ca="1"/>
        <v>DIRR3 BZ Equity</v>
      </c>
      <c r="B22" s="1" t="str">
        <f ca="1"/>
        <v>2024-10-28</v>
      </c>
      <c r="C22" t="str">
        <f ca="1"/>
        <v>TRAIL_12M_NET_INC</v>
      </c>
      <c r="D22" s="4" t="str">
        <f ca="1"/>
        <v>464.822000</v>
      </c>
      <c r="P22" t="s">
        <v>21</v>
      </c>
      <c r="R22" s="1"/>
    </row>
    <row r="23" spans="1:18" x14ac:dyDescent="0.25">
      <c r="A23" t="str">
        <f ca="1"/>
        <v>VULC3 BZ Equity</v>
      </c>
      <c r="B23" s="1" t="str">
        <f ca="1"/>
        <v>2024-10-28</v>
      </c>
      <c r="C23" t="str">
        <f ca="1"/>
        <v>TRAIL_12M_NET_INC</v>
      </c>
      <c r="D23" s="4" t="str">
        <f ca="1"/>
        <v>500.788000</v>
      </c>
      <c r="P23" t="s">
        <v>137</v>
      </c>
      <c r="R23" s="1"/>
    </row>
    <row r="24" spans="1:18" x14ac:dyDescent="0.25">
      <c r="A24" t="str">
        <f ca="1"/>
        <v>LWSA3 BZ Equity</v>
      </c>
      <c r="B24" s="1" t="str">
        <f ca="1"/>
        <v>2024-10-28</v>
      </c>
      <c r="C24" t="str">
        <f ca="1"/>
        <v>TRAIL_12M_NET_INC</v>
      </c>
      <c r="D24" s="4" t="str">
        <f ca="1"/>
        <v>1.570000</v>
      </c>
      <c r="P24" t="s">
        <v>22</v>
      </c>
      <c r="R24" s="1"/>
    </row>
    <row r="25" spans="1:18" x14ac:dyDescent="0.25">
      <c r="A25" t="str">
        <f ca="1"/>
        <v>TCSA3 BZ Equity</v>
      </c>
      <c r="B25" s="1" t="str">
        <f ca="1"/>
        <v>2024-10-28</v>
      </c>
      <c r="C25" t="str">
        <f ca="1"/>
        <v>TRAIL_12M_NET_INC</v>
      </c>
      <c r="D25" s="4" t="str">
        <f ca="1"/>
        <v>-116.869000</v>
      </c>
      <c r="P25" t="s">
        <v>23</v>
      </c>
      <c r="R25" s="1"/>
    </row>
    <row r="26" spans="1:18" x14ac:dyDescent="0.25">
      <c r="A26" t="str">
        <f ca="1"/>
        <v>BRBI11 BZ Equity</v>
      </c>
      <c r="B26" s="1" t="str">
        <f ca="1"/>
        <v>2024-10-28</v>
      </c>
      <c r="C26" t="str">
        <f ca="1"/>
        <v>TRAIL_12M_NET_INC</v>
      </c>
      <c r="D26" s="4" t="str">
        <f ca="1"/>
        <v>184.684000</v>
      </c>
      <c r="P26" t="s">
        <v>24</v>
      </c>
      <c r="R26" s="1"/>
    </row>
    <row r="27" spans="1:18" x14ac:dyDescent="0.25">
      <c r="A27" t="str">
        <f ca="1"/>
        <v>ANIM3 BZ Equity</v>
      </c>
      <c r="B27" s="1" t="str">
        <f ca="1"/>
        <v>2024-10-28</v>
      </c>
      <c r="C27" t="str">
        <f ca="1"/>
        <v>TRAIL_12M_NET_INC</v>
      </c>
      <c r="D27" s="4" t="str">
        <f ca="1"/>
        <v>-100.764000</v>
      </c>
      <c r="P27" t="s">
        <v>25</v>
      </c>
      <c r="R27" s="1"/>
    </row>
    <row r="28" spans="1:18" x14ac:dyDescent="0.25">
      <c r="A28" t="str">
        <f ca="1"/>
        <v>VIVA3 BZ Equity</v>
      </c>
      <c r="B28" s="1" t="str">
        <f ca="1"/>
        <v>2024-10-28</v>
      </c>
      <c r="C28" t="str">
        <f ca="1"/>
        <v>TRAIL_12M_NET_INC</v>
      </c>
      <c r="D28" s="4" t="str">
        <f ca="1"/>
        <v>467.459800</v>
      </c>
      <c r="P28" t="s">
        <v>26</v>
      </c>
      <c r="R28" s="1"/>
    </row>
    <row r="29" spans="1:18" x14ac:dyDescent="0.25">
      <c r="A29" t="str">
        <f ca="1"/>
        <v>GGPS3 BZ Equity</v>
      </c>
      <c r="B29" s="1" t="str">
        <f ca="1"/>
        <v>2024-10-28</v>
      </c>
      <c r="C29" t="str">
        <f ca="1"/>
        <v>TRAIL_12M_NET_INC</v>
      </c>
      <c r="D29" s="4" t="str">
        <f ca="1"/>
        <v>668.804000</v>
      </c>
      <c r="P29" t="s">
        <v>27</v>
      </c>
      <c r="R29" s="1"/>
    </row>
    <row r="30" spans="1:18" x14ac:dyDescent="0.25">
      <c r="A30" t="str">
        <f ca="1"/>
        <v>PRIO3 BZ Equity</v>
      </c>
      <c r="B30" s="1" t="str">
        <f ca="1"/>
        <v>2024-10-28</v>
      </c>
      <c r="C30" t="str">
        <f ca="1"/>
        <v>TRAIL_12M_NET_INC</v>
      </c>
      <c r="D30" s="4" t="str">
        <f ca="1"/>
        <v>5642.433000</v>
      </c>
      <c r="P30" t="s">
        <v>28</v>
      </c>
      <c r="R30" s="1"/>
    </row>
    <row r="31" spans="1:18" x14ac:dyDescent="0.25">
      <c r="A31" t="str">
        <f ca="1"/>
        <v>CSNA3 BZ Equity</v>
      </c>
      <c r="B31" s="1" t="str">
        <f ca="1"/>
        <v>2024-10-28</v>
      </c>
      <c r="C31" t="str">
        <f ca="1"/>
        <v>TRAIL_12M_NET_INC</v>
      </c>
      <c r="D31" s="4" t="str">
        <f ca="1"/>
        <v>-693.893000</v>
      </c>
      <c r="P31" t="s">
        <v>29</v>
      </c>
      <c r="R31" s="1"/>
    </row>
    <row r="32" spans="1:18" x14ac:dyDescent="0.25">
      <c r="A32" t="str">
        <f ca="1"/>
        <v>KLBN11 BZ Equity</v>
      </c>
      <c r="B32" s="1" t="str">
        <f ca="1"/>
        <v>2024-10-28</v>
      </c>
      <c r="C32" t="str">
        <f ca="1"/>
        <v>TRAIL_12M_NET_INC</v>
      </c>
      <c r="D32" s="4" t="str">
        <f ca="1"/>
        <v>1603.684000</v>
      </c>
      <c r="P32" t="s">
        <v>30</v>
      </c>
      <c r="R32" s="1"/>
    </row>
    <row r="33" spans="1:18" x14ac:dyDescent="0.25">
      <c r="A33" t="str">
        <f ca="1"/>
        <v>IGTI3 BZ Equity</v>
      </c>
      <c r="B33" s="1" t="str">
        <f ca="1"/>
        <v>2024-10-28</v>
      </c>
      <c r="C33" t="str">
        <f ca="1"/>
        <v>TRAIL_12M_NET_INC</v>
      </c>
      <c r="D33" s="4" t="str">
        <f ca="1"/>
        <v>336.900000</v>
      </c>
      <c r="P33" t="s">
        <v>31</v>
      </c>
      <c r="R33" s="1"/>
    </row>
    <row r="34" spans="1:18" x14ac:dyDescent="0.25">
      <c r="A34" t="str">
        <f ca="1"/>
        <v>HBOR3 BZ Equity</v>
      </c>
      <c r="B34" s="1" t="str">
        <f ca="1"/>
        <v>2024-10-28</v>
      </c>
      <c r="C34" t="str">
        <f ca="1"/>
        <v>TRAIL_12M_NET_INC</v>
      </c>
      <c r="D34" s="4" t="str">
        <f ca="1"/>
        <v>52.691000</v>
      </c>
      <c r="P34" t="s">
        <v>32</v>
      </c>
      <c r="R34" s="1"/>
    </row>
    <row r="35" spans="1:18" x14ac:dyDescent="0.25">
      <c r="A35" t="str">
        <f ca="1"/>
        <v>CIEL3 BZ Equity</v>
      </c>
      <c r="B35" s="1" t="str">
        <f ca="1"/>
        <v>2024-10-28</v>
      </c>
      <c r="C35" t="str">
        <f ca="1"/>
        <v>TRAIL_12M_NET_INC</v>
      </c>
      <c r="D35" s="4" t="str">
        <f ca="1"/>
        <v>1827.018000</v>
      </c>
      <c r="P35" t="s">
        <v>33</v>
      </c>
      <c r="R35" s="1"/>
    </row>
    <row r="36" spans="1:18" x14ac:dyDescent="0.25">
      <c r="A36" t="str">
        <f ca="1"/>
        <v>ASAI3 BZ Equity</v>
      </c>
      <c r="B36" s="1" t="str">
        <f ca="1"/>
        <v>2024-10-28</v>
      </c>
      <c r="C36" t="str">
        <f ca="1"/>
        <v>TRAIL_12M_NET_INC</v>
      </c>
      <c r="D36" s="4" t="str">
        <f ca="1"/>
        <v>665.000000</v>
      </c>
      <c r="P36" t="s">
        <v>145</v>
      </c>
      <c r="R36" s="1"/>
    </row>
    <row r="37" spans="1:18" x14ac:dyDescent="0.25">
      <c r="A37" t="str">
        <f ca="1"/>
        <v>ALOS3 BZ Equity</v>
      </c>
      <c r="B37" s="1" t="str">
        <f ca="1"/>
        <v>2024-10-28</v>
      </c>
      <c r="C37" t="str">
        <f ca="1"/>
        <v>TRAIL_12M_NET_INC</v>
      </c>
      <c r="D37" s="4" t="str">
        <f ca="1"/>
        <v>676.163000</v>
      </c>
      <c r="P37" t="s">
        <v>34</v>
      </c>
      <c r="R37" s="1"/>
    </row>
    <row r="38" spans="1:18" x14ac:dyDescent="0.25">
      <c r="A38" t="str">
        <f ca="1"/>
        <v>BRKM3 BZ Equity</v>
      </c>
      <c r="B38" s="1" t="str">
        <f ca="1"/>
        <v>2024-10-28</v>
      </c>
      <c r="C38" t="str">
        <f ca="1"/>
        <v>TRAIL_12M_NET_INC</v>
      </c>
      <c r="D38" s="4" t="str">
        <f ca="1"/>
        <v>-9072.842000</v>
      </c>
      <c r="P38" t="s">
        <v>35</v>
      </c>
      <c r="R38" s="1"/>
    </row>
    <row r="39" spans="1:18" x14ac:dyDescent="0.25">
      <c r="A39" t="str">
        <f ca="1"/>
        <v>VAMO3 BZ Equity</v>
      </c>
      <c r="B39" s="1" t="str">
        <f ca="1"/>
        <v>2024-10-28</v>
      </c>
      <c r="C39" t="str">
        <f ca="1"/>
        <v>TRAIL_12M_NET_INC</v>
      </c>
      <c r="D39" s="4" t="str">
        <f ca="1"/>
        <v>635.095000</v>
      </c>
      <c r="P39" t="s">
        <v>36</v>
      </c>
      <c r="R39" s="1"/>
    </row>
    <row r="40" spans="1:18" x14ac:dyDescent="0.25">
      <c r="A40" t="str">
        <f ca="1"/>
        <v>BBDC3 BZ Equity</v>
      </c>
      <c r="B40" s="1" t="str">
        <f ca="1"/>
        <v>2024-10-28</v>
      </c>
      <c r="C40" t="str">
        <f ca="1"/>
        <v>TRAIL_12M_NET_INC</v>
      </c>
      <c r="D40" s="4" t="str">
        <f ca="1"/>
        <v>13340.218000</v>
      </c>
      <c r="P40" t="s">
        <v>146</v>
      </c>
      <c r="R40" s="1"/>
    </row>
    <row r="41" spans="1:18" x14ac:dyDescent="0.25">
      <c r="A41" t="str">
        <f ca="1"/>
        <v>MOVI3 BZ Equity</v>
      </c>
      <c r="B41" s="1" t="str">
        <f ca="1"/>
        <v>2024-10-28</v>
      </c>
      <c r="C41" t="str">
        <f ca="1"/>
        <v>TRAIL_12M_NET_INC</v>
      </c>
      <c r="D41" s="4" t="str">
        <f ca="1"/>
        <v>-562.932000</v>
      </c>
      <c r="P41" t="s">
        <v>37</v>
      </c>
      <c r="R41" s="1"/>
    </row>
    <row r="42" spans="1:18" x14ac:dyDescent="0.25">
      <c r="A42" t="str">
        <f ca="1"/>
        <v>VAMO3 BZ Equity</v>
      </c>
      <c r="B42" s="1" t="str">
        <f ca="1"/>
        <v>2024-10-28</v>
      </c>
      <c r="C42" t="str">
        <f ca="1"/>
        <v>TRAIL_12M_NET_INC</v>
      </c>
      <c r="D42" s="4" t="str">
        <f ca="1"/>
        <v>635.095000</v>
      </c>
      <c r="P42" t="s">
        <v>147</v>
      </c>
      <c r="R42" s="1"/>
    </row>
    <row r="43" spans="1:18" x14ac:dyDescent="0.25">
      <c r="A43" t="str">
        <f ca="1"/>
        <v>JSLG3 BZ Equity</v>
      </c>
      <c r="B43" s="1" t="str">
        <f ca="1"/>
        <v>2024-10-28</v>
      </c>
      <c r="C43" t="str">
        <f ca="1"/>
        <v>TRAIL_12M_NET_INC</v>
      </c>
      <c r="D43" s="4" t="str">
        <f ca="1"/>
        <v>260.521000</v>
      </c>
      <c r="P43" t="s">
        <v>148</v>
      </c>
      <c r="R43" s="1"/>
    </row>
    <row r="44" spans="1:18" x14ac:dyDescent="0.25">
      <c r="A44" t="str">
        <f ca="1"/>
        <v>CBAV3 BZ Equity</v>
      </c>
      <c r="B44" s="1" t="str">
        <f ca="1"/>
        <v>2024-10-28</v>
      </c>
      <c r="C44" t="str">
        <f ca="1"/>
        <v>TRAIL_12M_NET_INC</v>
      </c>
      <c r="D44" s="4" t="str">
        <f ca="1"/>
        <v>-1072.390000</v>
      </c>
      <c r="P44" t="s">
        <v>38</v>
      </c>
      <c r="R44" s="1"/>
    </row>
    <row r="45" spans="1:18" x14ac:dyDescent="0.25">
      <c r="A45" t="str">
        <f ca="1"/>
        <v>LJQQ3 BZ Equity</v>
      </c>
      <c r="B45" s="1" t="str">
        <f ca="1"/>
        <v>2024-10-28</v>
      </c>
      <c r="C45" t="str">
        <f ca="1"/>
        <v>TRAIL_12M_NET_INC</v>
      </c>
      <c r="D45" s="4" t="str">
        <f ca="1"/>
        <v>45.478000</v>
      </c>
      <c r="P45" t="s">
        <v>39</v>
      </c>
      <c r="R45" s="1"/>
    </row>
    <row r="46" spans="1:18" x14ac:dyDescent="0.25">
      <c r="A46" t="str">
        <f ca="1"/>
        <v>MOVI3 BZ Equity</v>
      </c>
      <c r="B46" s="1" t="str">
        <f ca="1"/>
        <v>2024-10-28</v>
      </c>
      <c r="C46" t="str">
        <f ca="1"/>
        <v>TRAIL_12M_NET_INC</v>
      </c>
      <c r="D46" s="4" t="str">
        <f ca="1"/>
        <v>-562.932000</v>
      </c>
      <c r="P46" t="s">
        <v>40</v>
      </c>
      <c r="R46" s="1"/>
    </row>
    <row r="47" spans="1:18" x14ac:dyDescent="0.25">
      <c r="A47" t="str">
        <f ca="1"/>
        <v>ONCO3 BZ Equity</v>
      </c>
      <c r="B47" s="1" t="str">
        <f ca="1"/>
        <v>2024-10-28</v>
      </c>
      <c r="C47" t="str">
        <f ca="1"/>
        <v>TRAIL_12M_NET_INC</v>
      </c>
      <c r="D47" s="4" t="str">
        <f ca="1"/>
        <v>193.322000</v>
      </c>
      <c r="P47" t="s">
        <v>41</v>
      </c>
      <c r="R47" s="1"/>
    </row>
    <row r="48" spans="1:18" x14ac:dyDescent="0.25">
      <c r="A48" t="str">
        <f ca="1"/>
        <v>NEOE3 BZ Equity</v>
      </c>
      <c r="B48" s="1" t="str">
        <f ca="1"/>
        <v>2024-10-28</v>
      </c>
      <c r="C48" t="str">
        <f ca="1"/>
        <v>TRAIL_12M_NET_INC</v>
      </c>
      <c r="D48" s="4" t="str">
        <f ca="1"/>
        <v>3756.000000</v>
      </c>
      <c r="P48" t="s">
        <v>42</v>
      </c>
      <c r="R48" s="1"/>
    </row>
    <row r="49" spans="1:18" x14ac:dyDescent="0.25">
      <c r="A49" t="str">
        <f ca="1"/>
        <v>PCAR3 BZ Equity</v>
      </c>
      <c r="B49" s="1" t="str">
        <f ca="1"/>
        <v>2024-10-28</v>
      </c>
      <c r="C49" t="str">
        <f ca="1"/>
        <v>TRAIL_12M_NET_INC</v>
      </c>
      <c r="D49" s="4" t="str">
        <f ca="1"/>
        <v>-2590.000000</v>
      </c>
      <c r="P49" t="s">
        <v>149</v>
      </c>
      <c r="R49" s="1"/>
    </row>
    <row r="50" spans="1:18" x14ac:dyDescent="0.25">
      <c r="A50" t="str">
        <f ca="1"/>
        <v>INBR32 BZ Equity</v>
      </c>
      <c r="B50" s="1" t="str">
        <f ca="1"/>
        <v>2024-10-28</v>
      </c>
      <c r="C50" t="str">
        <f ca="1"/>
        <v>TRAIL_12M_NET_INC</v>
      </c>
      <c r="D50" s="4" t="str">
        <f ca="1"/>
        <v>631.463000</v>
      </c>
      <c r="P50" t="s">
        <v>138</v>
      </c>
      <c r="R50" s="1"/>
    </row>
    <row r="51" spans="1:18" x14ac:dyDescent="0.25">
      <c r="A51" t="str">
        <f ca="1"/>
        <v>TOTS3 BZ Equity</v>
      </c>
      <c r="B51" s="1" t="str">
        <f ca="1"/>
        <v>2024-10-28</v>
      </c>
      <c r="C51" t="str">
        <f ca="1"/>
        <v>TRAIL_12M_NET_INC</v>
      </c>
      <c r="D51" s="4" t="str">
        <f ca="1"/>
        <v>786.815000</v>
      </c>
      <c r="P51" t="s">
        <v>43</v>
      </c>
      <c r="R51" s="1"/>
    </row>
    <row r="52" spans="1:18" x14ac:dyDescent="0.25">
      <c r="A52" t="str">
        <f ca="1"/>
        <v>AZUL4 BZ Equity</v>
      </c>
      <c r="B52" s="1" t="str">
        <f ca="1"/>
        <v>2024-10-28</v>
      </c>
      <c r="C52" t="str">
        <f ca="1"/>
        <v>TRAIL_12M_NET_INC</v>
      </c>
      <c r="D52" s="4" t="str">
        <f ca="1"/>
        <v>-6527.643000</v>
      </c>
      <c r="P52" t="s">
        <v>44</v>
      </c>
      <c r="R52" s="1"/>
    </row>
    <row r="53" spans="1:18" x14ac:dyDescent="0.25">
      <c r="A53" t="str">
        <f ca="1"/>
        <v>CPLE6 BZ Equity</v>
      </c>
      <c r="B53" s="1" t="str">
        <f ca="1"/>
        <v>2024-10-28</v>
      </c>
      <c r="C53" t="str">
        <f ca="1"/>
        <v>TRAIL_12M_NET_INC</v>
      </c>
      <c r="D53" s="4" t="str">
        <f ca="1"/>
        <v>2317.893000</v>
      </c>
      <c r="P53" t="s">
        <v>45</v>
      </c>
      <c r="R53" s="1"/>
    </row>
    <row r="54" spans="1:18" x14ac:dyDescent="0.25">
      <c r="A54" t="str">
        <f ca="1"/>
        <v>ABCB4 BZ Equity</v>
      </c>
      <c r="B54" s="1" t="str">
        <f ca="1"/>
        <v>2024-10-28</v>
      </c>
      <c r="C54" t="str">
        <f ca="1"/>
        <v>TRAIL_12M_NET_INC</v>
      </c>
      <c r="D54" s="4" t="str">
        <f ca="1"/>
        <v>932.814000</v>
      </c>
      <c r="P54" t="s">
        <v>46</v>
      </c>
      <c r="R54" s="1"/>
    </row>
    <row r="55" spans="1:18" x14ac:dyDescent="0.25">
      <c r="A55" t="str">
        <f ca="1"/>
        <v>PORT3 BZ Equity</v>
      </c>
      <c r="B55" s="1" t="str">
        <f ca="1"/>
        <v>2024-10-28</v>
      </c>
      <c r="C55" t="str">
        <f ca="1"/>
        <v>TRAIL_12M_NET_INC</v>
      </c>
      <c r="D55" s="4" t="str">
        <f ca="1"/>
        <v>354.646000</v>
      </c>
      <c r="P55" t="s">
        <v>150</v>
      </c>
      <c r="R55" s="1"/>
    </row>
    <row r="56" spans="1:18" x14ac:dyDescent="0.25">
      <c r="A56" t="str">
        <f ca="1"/>
        <v>HAPV3 BZ Equity</v>
      </c>
      <c r="B56" s="1" t="str">
        <f ca="1"/>
        <v>2024-10-28</v>
      </c>
      <c r="C56" t="str">
        <f ca="1"/>
        <v>TRAIL_12M_NET_INC</v>
      </c>
      <c r="D56" s="4" t="str">
        <f ca="1"/>
        <v>-63.008000</v>
      </c>
      <c r="P56" t="s">
        <v>47</v>
      </c>
      <c r="R56" s="1"/>
    </row>
    <row r="57" spans="1:18" x14ac:dyDescent="0.25">
      <c r="A57" t="str">
        <f ca="1"/>
        <v>RDOR3 BZ Equity</v>
      </c>
      <c r="B57" s="1" t="str">
        <f ca="1"/>
        <v>2024-10-28</v>
      </c>
      <c r="C57" t="str">
        <f ca="1"/>
        <v>TRAIL_12M_NET_INC</v>
      </c>
      <c r="D57" s="4" t="str">
        <f ca="1"/>
        <v>3121.003000</v>
      </c>
      <c r="P57" t="s">
        <v>48</v>
      </c>
      <c r="R57" s="1"/>
    </row>
    <row r="58" spans="1:18" x14ac:dyDescent="0.25">
      <c r="A58" t="str">
        <f ca="1"/>
        <v>B3SA3 BZ Equity</v>
      </c>
      <c r="B58" s="1" t="str">
        <f ca="1"/>
        <v>2024-10-28</v>
      </c>
      <c r="C58" t="str">
        <f ca="1"/>
        <v>TRAIL_12M_NET_INC</v>
      </c>
      <c r="D58" s="4" t="str">
        <f ca="1"/>
        <v>4183.418000</v>
      </c>
      <c r="P58" t="s">
        <v>49</v>
      </c>
      <c r="R58" s="1"/>
    </row>
    <row r="59" spans="1:18" x14ac:dyDescent="0.25">
      <c r="A59" t="str">
        <f ca="1"/>
        <v>PFRM3 BZ Equity</v>
      </c>
      <c r="B59" s="1" t="str">
        <f ca="1"/>
        <v>2024-10-28</v>
      </c>
      <c r="C59" t="str">
        <f ca="1"/>
        <v>TRAIL_12M_NET_INC</v>
      </c>
      <c r="D59" s="4" t="str">
        <f ca="1"/>
        <v>90.583000</v>
      </c>
      <c r="P59" t="s">
        <v>50</v>
      </c>
      <c r="R59" s="1"/>
    </row>
    <row r="60" spans="1:18" x14ac:dyDescent="0.25">
      <c r="A60" t="str">
        <f ca="1"/>
        <v>SEER3 BZ Equity</v>
      </c>
      <c r="B60" s="1" t="str">
        <f ca="1"/>
        <v>2024-10-28</v>
      </c>
      <c r="C60" t="str">
        <f ca="1"/>
        <v>TRAIL_12M_NET_INC</v>
      </c>
      <c r="D60" s="4" t="str">
        <f ca="1"/>
        <v>0.282000</v>
      </c>
      <c r="P60" t="s">
        <v>51</v>
      </c>
      <c r="R60" s="1"/>
    </row>
    <row r="61" spans="1:18" x14ac:dyDescent="0.25">
      <c r="A61" t="str">
        <f ca="1"/>
        <v>ALLD3 BZ Equity</v>
      </c>
      <c r="B61" s="1" t="str">
        <f ca="1"/>
        <v>2024-10-28</v>
      </c>
      <c r="C61" t="str">
        <f ca="1"/>
        <v>TRAIL_12M_NET_INC</v>
      </c>
      <c r="D61" s="4" t="str">
        <f ca="1"/>
        <v>154.177000</v>
      </c>
      <c r="P61" t="s">
        <v>52</v>
      </c>
      <c r="R61" s="1"/>
    </row>
    <row r="62" spans="1:18" x14ac:dyDescent="0.25">
      <c r="A62" t="str">
        <f ca="1"/>
        <v>AALR3 BZ Equity</v>
      </c>
      <c r="B62" s="1" t="str">
        <f ca="1"/>
        <v>2024-10-28</v>
      </c>
      <c r="C62" t="str">
        <f ca="1"/>
        <v>TRAIL_12M_NET_INC</v>
      </c>
      <c r="D62" s="4" t="str">
        <f ca="1"/>
        <v>-218.431000</v>
      </c>
      <c r="P62" t="s">
        <v>53</v>
      </c>
      <c r="R62" s="1"/>
    </row>
    <row r="63" spans="1:18" x14ac:dyDescent="0.25">
      <c r="A63" t="str">
        <f ca="1"/>
        <v>ENGI11 BZ Equity</v>
      </c>
      <c r="B63" s="1" t="str">
        <f ca="1"/>
        <v>2024-10-28</v>
      </c>
      <c r="C63" t="str">
        <f ca="1"/>
        <v>TRAIL_12M_NET_INC</v>
      </c>
      <c r="D63" s="4" t="str">
        <f ca="1"/>
        <v>2417.784000</v>
      </c>
      <c r="P63" t="s">
        <v>151</v>
      </c>
      <c r="R63" s="1"/>
    </row>
    <row r="64" spans="1:18" x14ac:dyDescent="0.25">
      <c r="A64" t="str">
        <f ca="1"/>
        <v>ELPL3 BZ Equity</v>
      </c>
      <c r="B64" s="1" t="str">
        <f ca="1"/>
        <v>2024-10-28</v>
      </c>
      <c r="C64" t="str">
        <f ca="1"/>
        <v>TRAIL_12M_NET_INC</v>
      </c>
      <c r="D64" s="4" t="str">
        <f ca="1"/>
        <v>876.701000</v>
      </c>
      <c r="P64" t="s">
        <v>54</v>
      </c>
      <c r="R64" s="1"/>
    </row>
    <row r="65" spans="1:18" x14ac:dyDescent="0.25">
      <c r="A65" t="str">
        <f ca="1"/>
        <v>VITT3 BZ Equity</v>
      </c>
      <c r="B65" s="1" t="str">
        <f ca="1"/>
        <v>2024-10-28</v>
      </c>
      <c r="C65" t="str">
        <f ca="1"/>
        <v>TRAIL_12M_NET_INC</v>
      </c>
      <c r="D65" s="4" t="str">
        <f ca="1"/>
        <v>82.453000</v>
      </c>
      <c r="P65" t="s">
        <v>55</v>
      </c>
      <c r="R65" s="1"/>
    </row>
    <row r="66" spans="1:18" x14ac:dyDescent="0.25">
      <c r="A66" t="str">
        <f ca="1"/>
        <v>LIGT3 BZ Equity</v>
      </c>
      <c r="B66" s="1" t="str">
        <f ca="1"/>
        <v>2024-10-28</v>
      </c>
      <c r="C66" t="str">
        <f ca="1"/>
        <v>TRAIL_12M_NET_INC</v>
      </c>
      <c r="D66" s="4" t="str">
        <f ca="1"/>
        <v>-370.313000</v>
      </c>
      <c r="P66" t="s">
        <v>56</v>
      </c>
      <c r="R66" s="1"/>
    </row>
    <row r="67" spans="1:18" x14ac:dyDescent="0.25">
      <c r="A67" t="str">
        <f ca="1"/>
        <v>CASH3 BZ Equity</v>
      </c>
      <c r="B67" s="1" t="str">
        <f ca="1"/>
        <v>2024-10-28</v>
      </c>
      <c r="C67" t="str">
        <f ca="1"/>
        <v>TRAIL_12M_NET_INC</v>
      </c>
      <c r="D67" s="4" t="str">
        <f ca="1"/>
        <v>-33.654000</v>
      </c>
      <c r="P67" t="s">
        <v>57</v>
      </c>
      <c r="R67" s="1"/>
    </row>
    <row r="68" spans="1:18" x14ac:dyDescent="0.25">
      <c r="A68" t="str">
        <f ca="1"/>
        <v>TFCO4 BZ Equity</v>
      </c>
      <c r="B68" s="1" t="str">
        <f ca="1"/>
        <v>2024-10-28</v>
      </c>
      <c r="C68" t="str">
        <f ca="1"/>
        <v>TRAIL_12M_NET_INC</v>
      </c>
      <c r="D68" s="4" t="str">
        <f ca="1"/>
        <v>115.122000</v>
      </c>
      <c r="P68" t="s">
        <v>139</v>
      </c>
      <c r="R68" s="1"/>
    </row>
    <row r="69" spans="1:18" x14ac:dyDescent="0.25">
      <c r="A69" t="str">
        <f ca="1"/>
        <v>AERI3 BZ Equity</v>
      </c>
      <c r="B69" s="1" t="str">
        <f ca="1"/>
        <v>2024-10-28</v>
      </c>
      <c r="C69" t="str">
        <f ca="1"/>
        <v>TRAIL_12M_NET_INC</v>
      </c>
      <c r="D69" s="4" t="str">
        <f ca="1"/>
        <v>-109.603000</v>
      </c>
      <c r="P69" t="s">
        <v>58</v>
      </c>
      <c r="R69" s="1"/>
    </row>
    <row r="70" spans="1:18" x14ac:dyDescent="0.25">
      <c r="A70" t="str">
        <f ca="1"/>
        <v>BRAP3 BZ Equity</v>
      </c>
      <c r="B70" s="1" t="str">
        <f ca="1"/>
        <v>2024-10-28</v>
      </c>
      <c r="C70" t="str">
        <f ca="1"/>
        <v>TRAIL_12M_NET_INC</v>
      </c>
      <c r="D70" s="4" t="str">
        <f ca="1"/>
        <v>3711.720000</v>
      </c>
      <c r="P70" t="s">
        <v>59</v>
      </c>
      <c r="R70" s="1"/>
    </row>
    <row r="71" spans="1:18" x14ac:dyDescent="0.25">
      <c r="A71" t="str">
        <f ca="1"/>
        <v>IFCM3 BZ Equity</v>
      </c>
      <c r="B71" s="1" t="str">
        <f ca="1"/>
        <v>2024-10-28</v>
      </c>
      <c r="C71" t="str">
        <f ca="1"/>
        <v>TRAIL_12M_NET_INC</v>
      </c>
      <c r="D71" s="4" t="str">
        <f ca="1"/>
        <v>-1788.550000</v>
      </c>
      <c r="P71" t="s">
        <v>60</v>
      </c>
      <c r="R71" s="1"/>
    </row>
    <row r="72" spans="1:18" x14ac:dyDescent="0.25">
      <c r="A72" t="str">
        <f ca="1"/>
        <v>MDNE3 BZ Equity</v>
      </c>
      <c r="B72" s="1" t="str">
        <f ca="1"/>
        <v>2024-10-28</v>
      </c>
      <c r="C72" t="str">
        <f ca="1"/>
        <v>TRAIL_12M_NET_INC</v>
      </c>
      <c r="D72" s="4" t="str">
        <f ca="1"/>
        <v>197.123000</v>
      </c>
      <c r="P72" t="s">
        <v>61</v>
      </c>
      <c r="R72" s="1"/>
    </row>
    <row r="73" spans="1:18" x14ac:dyDescent="0.25">
      <c r="A73" t="str">
        <f ca="1"/>
        <v>ITUB3 BZ Equity</v>
      </c>
      <c r="B73" s="1" t="str">
        <f ca="1"/>
        <v>2024-10-28</v>
      </c>
      <c r="C73" t="str">
        <f ca="1"/>
        <v>TRAIL_12M_NET_INC</v>
      </c>
      <c r="D73" s="4" t="str">
        <f ca="1"/>
        <v>37015.000000</v>
      </c>
      <c r="P73" t="s">
        <v>62</v>
      </c>
      <c r="R73" s="1"/>
    </row>
    <row r="74" spans="1:18" x14ac:dyDescent="0.25">
      <c r="A74" t="str">
        <f ca="1"/>
        <v>SANB3 BZ Equity</v>
      </c>
      <c r="B74" s="1" t="str">
        <f ca="1"/>
        <v>2024-10-28</v>
      </c>
      <c r="C74" t="str">
        <f ca="1"/>
        <v>TRAIL_12M_NET_INC</v>
      </c>
      <c r="D74" s="4" t="str">
        <f ca="1"/>
        <v>11486.217000</v>
      </c>
      <c r="P74" t="s">
        <v>63</v>
      </c>
      <c r="R74" s="1"/>
    </row>
    <row r="75" spans="1:18" x14ac:dyDescent="0.25">
      <c r="A75" t="str">
        <f ca="1"/>
        <v>JBSS3 BZ Equity</v>
      </c>
      <c r="B75" s="1" t="str">
        <f ca="1"/>
        <v>2024-10-28</v>
      </c>
      <c r="C75" t="str">
        <f ca="1"/>
        <v>TRAIL_12M_NET_INC</v>
      </c>
      <c r="D75" s="4" t="str">
        <f ca="1"/>
        <v>4016.468000</v>
      </c>
      <c r="P75" t="s">
        <v>152</v>
      </c>
      <c r="R75" s="1"/>
    </row>
    <row r="76" spans="1:18" x14ac:dyDescent="0.25">
      <c r="A76" t="str">
        <f ca="1"/>
        <v>VALE3 BZ Equity</v>
      </c>
      <c r="B76" s="1" t="str">
        <f ca="1"/>
        <v>2024-10-28</v>
      </c>
      <c r="C76" t="str">
        <f ca="1"/>
        <v>TRAIL_12M_NET_INC</v>
      </c>
      <c r="D76" s="4" t="str">
        <f ca="1"/>
        <v>48251.000000</v>
      </c>
      <c r="P76" t="s">
        <v>64</v>
      </c>
      <c r="R76" s="1"/>
    </row>
    <row r="77" spans="1:18" x14ac:dyDescent="0.25">
      <c r="A77" t="str">
        <f ca="1"/>
        <v>SUZB3 BZ Equity</v>
      </c>
      <c r="B77" s="1" t="str">
        <f ca="1"/>
        <v>2024-10-28</v>
      </c>
      <c r="C77" t="str">
        <f ca="1"/>
        <v>TRAIL_12M_NET_INC</v>
      </c>
      <c r="D77" s="4" t="str">
        <f ca="1"/>
        <v>4181.443000</v>
      </c>
      <c r="P77" t="s">
        <v>65</v>
      </c>
      <c r="R77" s="1"/>
    </row>
    <row r="78" spans="1:18" x14ac:dyDescent="0.25">
      <c r="A78" t="str">
        <f ca="1"/>
        <v>GFSA3 BZ Equity</v>
      </c>
      <c r="B78" s="1" t="str">
        <f ca="1"/>
        <v>2024-10-28</v>
      </c>
      <c r="C78" t="str">
        <f ca="1"/>
        <v>TRAIL_12M_NET_INC</v>
      </c>
      <c r="D78" s="4" t="str">
        <f ca="1"/>
        <v>-45.761000</v>
      </c>
      <c r="P78" t="s">
        <v>153</v>
      </c>
      <c r="R78" s="1"/>
    </row>
    <row r="79" spans="1:18" x14ac:dyDescent="0.25">
      <c r="A79" t="str">
        <f ca="1"/>
        <v>ABEV3 BZ Equity</v>
      </c>
      <c r="B79" s="1" t="str">
        <f ca="1"/>
        <v>2024-10-28</v>
      </c>
      <c r="C79" t="str">
        <f ca="1"/>
        <v>TRAIL_12M_NET_INC</v>
      </c>
      <c r="D79" s="4" t="str">
        <f ca="1"/>
        <v>14395.981000</v>
      </c>
      <c r="P79" t="s">
        <v>66</v>
      </c>
      <c r="R79" s="1"/>
    </row>
    <row r="80" spans="1:18" x14ac:dyDescent="0.25">
      <c r="A80" t="str">
        <f ca="1"/>
        <v>CLSC4 BZ Equity</v>
      </c>
      <c r="B80" s="1" t="str">
        <f ca="1"/>
        <v>2024-10-28</v>
      </c>
      <c r="C80" t="str">
        <f ca="1"/>
        <v>TRAIL_12M_NET_INC</v>
      </c>
      <c r="D80" s="4" t="str">
        <f ca="1"/>
        <v>633.579000</v>
      </c>
      <c r="P80" t="s">
        <v>67</v>
      </c>
      <c r="R80" s="1"/>
    </row>
    <row r="81" spans="1:18" x14ac:dyDescent="0.25">
      <c r="A81" t="str">
        <f ca="1"/>
        <v>EUCA4 BZ Equity</v>
      </c>
      <c r="B81" s="1" t="str">
        <f ca="1"/>
        <v>2024-10-28</v>
      </c>
      <c r="C81" t="str">
        <f ca="1"/>
        <v>TRAIL_12M_NET_INC</v>
      </c>
      <c r="D81" s="4" t="str">
        <f ca="1"/>
        <v>410.071000</v>
      </c>
      <c r="P81" t="s">
        <v>154</v>
      </c>
      <c r="R81" s="1"/>
    </row>
    <row r="82" spans="1:18" x14ac:dyDescent="0.25">
      <c r="A82" t="str">
        <f ca="1"/>
        <v>LPSB3 BZ Equity</v>
      </c>
      <c r="B82" s="1" t="str">
        <f ca="1"/>
        <v>2024-10-28</v>
      </c>
      <c r="C82" t="str">
        <f ca="1"/>
        <v>TRAIL_12M_NET_INC</v>
      </c>
      <c r="D82" s="4" t="str">
        <f ca="1"/>
        <v>24.408000</v>
      </c>
      <c r="P82" t="s">
        <v>68</v>
      </c>
      <c r="R82" s="1"/>
    </row>
    <row r="83" spans="1:18" x14ac:dyDescent="0.25">
      <c r="A83" t="str">
        <f ca="1"/>
        <v>FRAS3 BZ Equity</v>
      </c>
      <c r="B83" s="1" t="str">
        <f ca="1"/>
        <v>2024-10-28</v>
      </c>
      <c r="C83" t="str">
        <f ca="1"/>
        <v>TRAIL_12M_NET_INC</v>
      </c>
      <c r="D83" s="4" t="str">
        <f ca="1"/>
        <v>338.938000</v>
      </c>
      <c r="P83" t="s">
        <v>155</v>
      </c>
      <c r="R83" s="1"/>
    </row>
    <row r="84" spans="1:18" x14ac:dyDescent="0.25">
      <c r="A84" t="str">
        <f ca="1"/>
        <v>CSMG3 BZ Equity</v>
      </c>
      <c r="B84" s="1" t="str">
        <f ca="1"/>
        <v>2024-10-28</v>
      </c>
      <c r="C84" t="str">
        <f ca="1"/>
        <v>TRAIL_12M_NET_INC</v>
      </c>
      <c r="D84" s="4" t="str">
        <f ca="1"/>
        <v>1469.087000</v>
      </c>
      <c r="P84" t="s">
        <v>69</v>
      </c>
      <c r="R84" s="1"/>
    </row>
    <row r="85" spans="1:18" x14ac:dyDescent="0.25">
      <c r="A85" t="str">
        <f ca="1"/>
        <v>DMVF3 BZ Equity</v>
      </c>
      <c r="B85" s="1" t="str">
        <f ca="1"/>
        <v>2024-10-28</v>
      </c>
      <c r="C85" t="str">
        <f ca="1"/>
        <v>TRAIL_12M_NET_INC</v>
      </c>
      <c r="D85" s="4" t="str">
        <f ca="1"/>
        <v>27.033000</v>
      </c>
      <c r="P85" t="s">
        <v>70</v>
      </c>
      <c r="R85" s="1"/>
    </row>
    <row r="86" spans="1:18" x14ac:dyDescent="0.25">
      <c r="A86" t="str">
        <f ca="1"/>
        <v>SOJA3 BZ Equity</v>
      </c>
      <c r="B86" s="1" t="str">
        <f ca="1"/>
        <v>2024-10-28</v>
      </c>
      <c r="C86" t="str">
        <f ca="1"/>
        <v>TRAIL_12M_NET_INC</v>
      </c>
      <c r="D86" s="4" t="str">
        <f ca="1"/>
        <v>344.991000</v>
      </c>
      <c r="P86" t="s">
        <v>71</v>
      </c>
      <c r="R86" s="1"/>
    </row>
    <row r="87" spans="1:18" x14ac:dyDescent="0.25">
      <c r="A87" t="str">
        <f ca="1"/>
        <v>TECN3 BZ Equity</v>
      </c>
      <c r="B87" s="1" t="str">
        <f ca="1"/>
        <v>2024-10-28</v>
      </c>
      <c r="C87" t="str">
        <f ca="1"/>
        <v>TRAIL_12M_NET_INC</v>
      </c>
      <c r="D87" s="4" t="str">
        <f ca="1"/>
        <v>64.050000</v>
      </c>
      <c r="P87" t="s">
        <v>156</v>
      </c>
      <c r="R87" s="1"/>
    </row>
    <row r="88" spans="1:18" x14ac:dyDescent="0.25">
      <c r="A88" t="str">
        <f ca="1"/>
        <v>HBSA3 BZ Equity</v>
      </c>
      <c r="B88" s="1" t="str">
        <f ca="1"/>
        <v>2024-10-28</v>
      </c>
      <c r="C88" t="str">
        <f ca="1"/>
        <v>TRAIL_12M_NET_INC</v>
      </c>
      <c r="D88" s="4" t="str">
        <f ca="1"/>
        <v>-247.391000</v>
      </c>
      <c r="P88" t="s">
        <v>72</v>
      </c>
      <c r="R88" s="1"/>
    </row>
    <row r="89" spans="1:18" x14ac:dyDescent="0.25">
      <c r="A89" t="str">
        <f ca="1"/>
        <v>TAEE11 BZ Equity</v>
      </c>
      <c r="B89" s="1" t="str">
        <f ca="1"/>
        <v>2024-10-28</v>
      </c>
      <c r="C89" t="str">
        <f ca="1"/>
        <v>TRAIL_12M_NET_INC</v>
      </c>
      <c r="D89" s="4" t="str">
        <f ca="1"/>
        <v>1537.802000</v>
      </c>
      <c r="P89" t="s">
        <v>73</v>
      </c>
      <c r="R89" s="1"/>
    </row>
    <row r="90" spans="1:18" x14ac:dyDescent="0.25">
      <c r="A90" t="str">
        <f ca="1"/>
        <v>CSUD3 BZ Equity</v>
      </c>
      <c r="B90" s="1" t="str">
        <f ca="1"/>
        <v>2024-10-28</v>
      </c>
      <c r="C90" t="str">
        <f ca="1"/>
        <v>TRAIL_12M_NET_INC</v>
      </c>
      <c r="D90" s="4" t="str">
        <f ca="1"/>
        <v>94.424000</v>
      </c>
      <c r="P90" t="s">
        <v>74</v>
      </c>
      <c r="R90" s="1"/>
    </row>
    <row r="91" spans="1:18" x14ac:dyDescent="0.25">
      <c r="A91" t="str">
        <f ca="1"/>
        <v>WEGE3 BZ Equity</v>
      </c>
      <c r="B91" s="1" t="str">
        <f ca="1"/>
        <v>2024-10-28</v>
      </c>
      <c r="C91" t="str">
        <f ca="1"/>
        <v>TRAIL_12M_NET_INC</v>
      </c>
      <c r="D91" s="4" t="str">
        <f ca="1"/>
        <v>5826.236000</v>
      </c>
      <c r="P91" t="s">
        <v>75</v>
      </c>
      <c r="R91" s="1"/>
    </row>
    <row r="92" spans="1:18" x14ac:dyDescent="0.25">
      <c r="A92" t="str">
        <f ca="1"/>
        <v>CMIG4 BZ Equity</v>
      </c>
      <c r="B92" s="1" t="str">
        <f ca="1"/>
        <v>2024-10-28</v>
      </c>
      <c r="C92" t="str">
        <f ca="1"/>
        <v>TRAIL_12M_NET_INC</v>
      </c>
      <c r="D92" s="4" t="str">
        <f ca="1"/>
        <v>5962.433000</v>
      </c>
      <c r="P92" t="s">
        <v>76</v>
      </c>
      <c r="R92" s="1"/>
    </row>
    <row r="93" spans="1:18" x14ac:dyDescent="0.25">
      <c r="A93" t="str">
        <f ca="1"/>
        <v>SCAR3 BZ Equity</v>
      </c>
      <c r="B93" s="1" t="str">
        <f ca="1"/>
        <v>2024-10-28</v>
      </c>
      <c r="C93" t="str">
        <f ca="1"/>
        <v>TRAIL_12M_NET_INC</v>
      </c>
      <c r="D93" s="4" t="str">
        <f ca="1"/>
        <v>247.347000</v>
      </c>
      <c r="P93" t="s">
        <v>77</v>
      </c>
      <c r="R93" s="1"/>
    </row>
    <row r="94" spans="1:18" x14ac:dyDescent="0.25">
      <c r="A94" t="str">
        <f ca="1"/>
        <v>VVEO3 BZ Equity</v>
      </c>
      <c r="B94" s="1" t="str">
        <f ca="1"/>
        <v>2024-10-28</v>
      </c>
      <c r="C94" t="str">
        <f ca="1"/>
        <v>TRAIL_12M_NET_INC</v>
      </c>
      <c r="D94" s="4" t="str">
        <f ca="1"/>
        <v>182.884000</v>
      </c>
      <c r="P94" t="s">
        <v>79</v>
      </c>
      <c r="R94" s="1"/>
    </row>
    <row r="95" spans="1:18" x14ac:dyDescent="0.25">
      <c r="A95" t="str">
        <f ca="1"/>
        <v>MEAL3 BZ Equity</v>
      </c>
      <c r="B95" s="1" t="str">
        <f ca="1"/>
        <v>2024-10-28</v>
      </c>
      <c r="C95" t="str">
        <f ca="1"/>
        <v>TRAIL_12M_NET_INC</v>
      </c>
      <c r="D95" s="4" t="str">
        <f ca="1"/>
        <v>-75.485000</v>
      </c>
      <c r="P95" t="s">
        <v>80</v>
      </c>
      <c r="R95" s="1"/>
    </row>
    <row r="96" spans="1:18" x14ac:dyDescent="0.25">
      <c r="A96" t="str">
        <f ca="1"/>
        <v>VSTE3 BZ Equity</v>
      </c>
      <c r="B96" s="1" t="str">
        <f ca="1"/>
        <v>2024-10-28</v>
      </c>
      <c r="C96" t="str">
        <f ca="1"/>
        <v>TRAIL_12M_NET_INC</v>
      </c>
      <c r="D96" s="4" t="str">
        <f ca="1"/>
        <v>11.468000</v>
      </c>
      <c r="P96" t="s">
        <v>81</v>
      </c>
      <c r="R96" s="1"/>
    </row>
    <row r="97" spans="1:18" x14ac:dyDescent="0.25">
      <c r="A97" t="str">
        <f ca="1"/>
        <v>RENT3 BZ Equity</v>
      </c>
      <c r="B97" s="1" t="str">
        <f ca="1"/>
        <v>2024-10-28</v>
      </c>
      <c r="C97" t="str">
        <f ca="1"/>
        <v>TRAIL_12M_NET_INC</v>
      </c>
      <c r="D97" s="4" t="str">
        <f ca="1"/>
        <v>1535.174000</v>
      </c>
      <c r="P97" t="s">
        <v>157</v>
      </c>
      <c r="R97" s="1"/>
    </row>
    <row r="98" spans="1:18" x14ac:dyDescent="0.25">
      <c r="A98" t="str">
        <f ca="1"/>
        <v>BRFS3 BZ Equity</v>
      </c>
      <c r="B98" s="1" t="str">
        <f ca="1"/>
        <v>2024-10-28</v>
      </c>
      <c r="C98" t="str">
        <f ca="1"/>
        <v>TRAIL_12M_NET_INC</v>
      </c>
      <c r="D98" s="4" t="str">
        <f ca="1"/>
        <v>1857.113000</v>
      </c>
      <c r="P98" t="s">
        <v>82</v>
      </c>
      <c r="R98" s="1"/>
    </row>
    <row r="99" spans="1:18" x14ac:dyDescent="0.25">
      <c r="A99" t="str">
        <f ca="1"/>
        <v>CSAN3 BZ Equity</v>
      </c>
      <c r="B99" s="1" t="str">
        <f ca="1"/>
        <v>2024-10-28</v>
      </c>
      <c r="C99" t="str">
        <f ca="1"/>
        <v>TRAIL_12M_NET_INC</v>
      </c>
      <c r="D99" s="4" t="str">
        <f ca="1"/>
        <v>2621.940000</v>
      </c>
      <c r="P99" t="s">
        <v>83</v>
      </c>
      <c r="R99" s="1"/>
    </row>
    <row r="100" spans="1:18" x14ac:dyDescent="0.25">
      <c r="A100" t="str">
        <f ca="1"/>
        <v>LOGG3 BZ Equity</v>
      </c>
      <c r="B100" s="1" t="str">
        <f ca="1"/>
        <v>2024-10-28</v>
      </c>
      <c r="C100" t="str">
        <f ca="1"/>
        <v>TRAIL_12M_NET_INC</v>
      </c>
      <c r="D100" s="4" t="str">
        <f ca="1"/>
        <v>268.968000</v>
      </c>
      <c r="P100" t="s">
        <v>158</v>
      </c>
      <c r="R100" s="1"/>
    </row>
    <row r="101" spans="1:18" x14ac:dyDescent="0.25">
      <c r="A101" t="str">
        <f ca="1"/>
        <v>COCE5 BZ Equity</v>
      </c>
      <c r="B101" s="1" t="str">
        <f ca="1"/>
        <v>2024-10-28</v>
      </c>
      <c r="C101" t="str">
        <f ca="1"/>
        <v>TRAIL_12M_NET_INC</v>
      </c>
      <c r="D101" s="4" t="str">
        <f ca="1"/>
        <v>361.164000</v>
      </c>
      <c r="P101" t="s">
        <v>84</v>
      </c>
      <c r="R101" s="1"/>
    </row>
    <row r="102" spans="1:18" x14ac:dyDescent="0.25">
      <c r="A102" t="str">
        <f ca="1"/>
        <v>ORVR3 BZ Equity</v>
      </c>
      <c r="B102" s="1" t="str">
        <f ca="1"/>
        <v>2024-10-28</v>
      </c>
      <c r="C102" t="str">
        <f ca="1"/>
        <v>TRAIL_12M_NET_INC</v>
      </c>
      <c r="D102" s="4" t="str">
        <f ca="1"/>
        <v>124.686000</v>
      </c>
      <c r="P102" t="s">
        <v>85</v>
      </c>
      <c r="R102" s="1"/>
    </row>
    <row r="103" spans="1:18" x14ac:dyDescent="0.25">
      <c r="A103" t="str">
        <f ca="1"/>
        <v>WIZC3 BZ Equity</v>
      </c>
      <c r="B103" s="1" t="str">
        <f ca="1"/>
        <v>2024-10-28</v>
      </c>
      <c r="C103" t="str">
        <f ca="1"/>
        <v>TRAIL_12M_NET_INC</v>
      </c>
      <c r="D103" s="4" t="str">
        <f ca="1"/>
        <v>126.792000</v>
      </c>
      <c r="P103" t="s">
        <v>84</v>
      </c>
      <c r="R103" s="1"/>
    </row>
    <row r="104" spans="1:18" x14ac:dyDescent="0.25">
      <c r="A104" t="str">
        <f ca="1"/>
        <v>TRPL4 BZ Equity</v>
      </c>
      <c r="B104" s="1" t="str">
        <f ca="1"/>
        <v>2024-10-28</v>
      </c>
      <c r="C104" t="str">
        <f ca="1"/>
        <v>TRAIL_12M_NET_INC</v>
      </c>
      <c r="D104" s="4" t="str">
        <f ca="1"/>
        <v>2670.916000</v>
      </c>
      <c r="P104" t="s">
        <v>159</v>
      </c>
      <c r="R104" s="1"/>
    </row>
    <row r="105" spans="1:18" x14ac:dyDescent="0.25">
      <c r="A105" t="str">
        <f ca="1"/>
        <v>MTRE3 BZ Equity</v>
      </c>
      <c r="B105" s="1" t="str">
        <f ca="1"/>
        <v>2024-10-28</v>
      </c>
      <c r="C105" t="str">
        <f ca="1"/>
        <v>TRAIL_12M_NET_INC</v>
      </c>
      <c r="D105" s="4" t="str">
        <f ca="1"/>
        <v>27.850000</v>
      </c>
      <c r="P105" t="s">
        <v>86</v>
      </c>
      <c r="R105" s="1"/>
    </row>
    <row r="106" spans="1:18" x14ac:dyDescent="0.25">
      <c r="A106" t="str">
        <f ca="1"/>
        <v>POSI3 BZ Equity</v>
      </c>
      <c r="B106" s="1" t="str">
        <f ca="1"/>
        <v>2024-10-28</v>
      </c>
      <c r="C106" t="str">
        <f ca="1"/>
        <v>TRAIL_12M_NET_INC</v>
      </c>
      <c r="D106" s="4" t="str">
        <f ca="1"/>
        <v>286.571000</v>
      </c>
      <c r="P106" t="s">
        <v>87</v>
      </c>
      <c r="R106" s="1"/>
    </row>
    <row r="107" spans="1:18" x14ac:dyDescent="0.25">
      <c r="A107" t="str">
        <f ca="1"/>
        <v>MILS3 BZ Equity</v>
      </c>
      <c r="B107" s="1" t="str">
        <f ca="1"/>
        <v>2024-10-28</v>
      </c>
      <c r="C107" t="str">
        <f ca="1"/>
        <v>TRAIL_12M_NET_INC</v>
      </c>
      <c r="D107" s="4" t="str">
        <f ca="1"/>
        <v>285.956000</v>
      </c>
      <c r="P107" t="s">
        <v>85</v>
      </c>
      <c r="R107" s="1"/>
    </row>
    <row r="108" spans="1:18" x14ac:dyDescent="0.25">
      <c r="A108" t="str">
        <f ca="1"/>
        <v>MATD3 BZ Equity</v>
      </c>
      <c r="B108" s="1" t="str">
        <f ca="1"/>
        <v>2024-10-28</v>
      </c>
      <c r="C108" t="str">
        <f ca="1"/>
        <v>TRAIL_12M_NET_INC</v>
      </c>
      <c r="D108" s="4" t="str">
        <f ca="1"/>
        <v>-367.735000</v>
      </c>
      <c r="P108" t="s">
        <v>88</v>
      </c>
      <c r="R108" s="1"/>
    </row>
    <row r="109" spans="1:18" x14ac:dyDescent="0.25">
      <c r="A109" t="str">
        <f ca="1"/>
        <v>BPAN4 BZ Equity</v>
      </c>
      <c r="B109" s="1" t="str">
        <f ca="1"/>
        <v>2024-10-28</v>
      </c>
      <c r="C109" t="str">
        <f ca="1"/>
        <v>TRAIL_12M_NET_INC</v>
      </c>
      <c r="D109" s="4" t="str">
        <f ca="1"/>
        <v>644.064000</v>
      </c>
      <c r="P109" t="s">
        <v>9</v>
      </c>
      <c r="R109" s="1"/>
    </row>
    <row r="110" spans="1:18" x14ac:dyDescent="0.25">
      <c r="A110" t="str">
        <f ca="1"/>
        <v>IRBR3 BZ Equity</v>
      </c>
      <c r="B110" s="1" t="str">
        <f ca="1"/>
        <v>2024-10-28</v>
      </c>
      <c r="C110" t="str">
        <f ca="1"/>
        <v>TRAIL_12M_NET_INC</v>
      </c>
      <c r="D110" s="4" t="str">
        <f ca="1"/>
        <v>278.436000</v>
      </c>
      <c r="P110" t="s">
        <v>160</v>
      </c>
      <c r="R110" s="1"/>
    </row>
    <row r="111" spans="1:18" x14ac:dyDescent="0.25">
      <c r="A111" t="str">
        <f ca="1"/>
        <v>CYRE3 BZ Equity</v>
      </c>
      <c r="B111" s="1" t="str">
        <f ca="1"/>
        <v>2024-10-28</v>
      </c>
      <c r="C111" t="str">
        <f ca="1"/>
        <v>TRAIL_12M_NET_INC</v>
      </c>
      <c r="D111" s="4" t="str">
        <f ca="1"/>
        <v>1178.392000</v>
      </c>
      <c r="P111" t="s">
        <v>89</v>
      </c>
      <c r="R111" s="1"/>
    </row>
    <row r="112" spans="1:18" x14ac:dyDescent="0.25">
      <c r="A112" t="str">
        <f ca="1"/>
        <v>ECOR3 BZ Equity</v>
      </c>
      <c r="B112" s="1" t="str">
        <f ca="1"/>
        <v>2024-10-28</v>
      </c>
      <c r="C112" t="str">
        <f ca="1"/>
        <v>TRAIL_12M_NET_INC</v>
      </c>
      <c r="D112" s="4" t="str">
        <f ca="1"/>
        <v>836.140000</v>
      </c>
      <c r="P112" t="s">
        <v>161</v>
      </c>
      <c r="R112" s="1"/>
    </row>
    <row r="113" spans="1:18" x14ac:dyDescent="0.25">
      <c r="A113" t="str">
        <f ca="1"/>
        <v>OPCT3 BZ Equity</v>
      </c>
      <c r="B113" s="1" t="str">
        <f ca="1"/>
        <v>2024-10-28</v>
      </c>
      <c r="C113" t="str">
        <f ca="1"/>
        <v>TRAIL_12M_NET_INC</v>
      </c>
      <c r="D113" s="4" t="str">
        <f ca="1"/>
        <v>23.138000</v>
      </c>
      <c r="P113" t="s">
        <v>162</v>
      </c>
      <c r="R113" s="1"/>
    </row>
    <row r="114" spans="1:18" x14ac:dyDescent="0.25">
      <c r="A114" t="str">
        <f ca="1"/>
        <v>GUAR3 BZ Equity</v>
      </c>
      <c r="B114" s="1" t="str">
        <f ca="1"/>
        <v>2024-10-28</v>
      </c>
      <c r="C114" t="str">
        <f ca="1"/>
        <v>TRAIL_12M_NET_INC</v>
      </c>
      <c r="D114" s="4" t="str">
        <f ca="1"/>
        <v>99.045000</v>
      </c>
      <c r="P114" t="s">
        <v>163</v>
      </c>
      <c r="R114" s="1"/>
    </row>
    <row r="115" spans="1:18" x14ac:dyDescent="0.25">
      <c r="A115" t="str">
        <f ca="1"/>
        <v>RAPT4 BZ Equity</v>
      </c>
      <c r="B115" s="1" t="str">
        <f ca="1"/>
        <v>2024-10-28</v>
      </c>
      <c r="C115" t="str">
        <f ca="1"/>
        <v>TRAIL_12M_NET_INC</v>
      </c>
      <c r="D115" s="4" t="str">
        <f ca="1"/>
        <v>311.592000</v>
      </c>
      <c r="P115" t="s">
        <v>91</v>
      </c>
      <c r="R115" s="1"/>
    </row>
    <row r="116" spans="1:18" x14ac:dyDescent="0.25">
      <c r="A116" t="str">
        <f ca="1"/>
        <v>CVCB3 BZ Equity</v>
      </c>
      <c r="B116" s="1" t="str">
        <f ca="1"/>
        <v>2024-10-28</v>
      </c>
      <c r="C116" t="str">
        <f ca="1"/>
        <v>TRAIL_12M_NET_INC</v>
      </c>
      <c r="D116" s="4" t="str">
        <f ca="1"/>
        <v>-218.517000</v>
      </c>
      <c r="P116" t="s">
        <v>92</v>
      </c>
      <c r="R116" s="1"/>
    </row>
    <row r="117" spans="1:18" x14ac:dyDescent="0.25">
      <c r="A117" t="str">
        <f ca="1"/>
        <v>VTRU3 BZ Equity</v>
      </c>
      <c r="B117" s="1" t="str">
        <f ca="1"/>
        <v>2024-10-28</v>
      </c>
      <c r="C117" t="str">
        <f ca="1"/>
        <v>TRAIL_12M_NET_INC</v>
      </c>
      <c r="D117" s="4" t="str">
        <f ca="1"/>
        <v>43.323000</v>
      </c>
      <c r="P117" t="s">
        <v>93</v>
      </c>
      <c r="R117" s="1"/>
    </row>
    <row r="118" spans="1:18" x14ac:dyDescent="0.25">
      <c r="A118" t="str">
        <f ca="1"/>
        <v>EZTC3 BZ Equity</v>
      </c>
      <c r="B118" s="1" t="str">
        <f ca="1"/>
        <v>2024-10-28</v>
      </c>
      <c r="C118" t="str">
        <f ca="1"/>
        <v>TRAIL_12M_NET_INC</v>
      </c>
      <c r="D118" s="4" t="str">
        <f ca="1"/>
        <v>267.279000</v>
      </c>
      <c r="P118" t="s">
        <v>164</v>
      </c>
      <c r="R118" s="1"/>
    </row>
    <row r="119" spans="1:18" x14ac:dyDescent="0.25">
      <c r="A119" t="str">
        <f ca="1"/>
        <v>BMOB3 BZ Equity</v>
      </c>
      <c r="B119" s="1" t="str">
        <f ca="1"/>
        <v>2024-10-28</v>
      </c>
      <c r="C119" t="str">
        <f ca="1"/>
        <v>TRAIL_12M_NET_INC</v>
      </c>
      <c r="D119" s="4" t="str">
        <f ca="1"/>
        <v>113.754000</v>
      </c>
      <c r="P119" t="s">
        <v>94</v>
      </c>
      <c r="R119" s="1"/>
    </row>
    <row r="120" spans="1:18" x14ac:dyDescent="0.25">
      <c r="A120" t="str">
        <f ca="1"/>
        <v>TTEN3 BZ Equity</v>
      </c>
      <c r="B120" s="1" t="str">
        <f ca="1"/>
        <v>2024-10-28</v>
      </c>
      <c r="C120" t="str">
        <f ca="1"/>
        <v>TRAIL_12M_NET_INC</v>
      </c>
      <c r="D120" s="4" t="str">
        <f ca="1"/>
        <v>696.058000</v>
      </c>
      <c r="P120" t="s">
        <v>165</v>
      </c>
      <c r="R120" s="1"/>
    </row>
    <row r="121" spans="1:18" x14ac:dyDescent="0.25">
      <c r="A121" t="str">
        <f ca="1"/>
        <v>BRSR6 BZ Equity</v>
      </c>
      <c r="B121" s="1" t="str">
        <f ca="1"/>
        <v>2024-10-28</v>
      </c>
      <c r="C121" t="str">
        <f ca="1"/>
        <v>TRAIL_12M_NET_INC</v>
      </c>
      <c r="D121" s="4" t="str">
        <f ca="1"/>
        <v>969.698000</v>
      </c>
      <c r="P121" t="s">
        <v>95</v>
      </c>
      <c r="R121" s="1"/>
    </row>
    <row r="122" spans="1:18" x14ac:dyDescent="0.25">
      <c r="A122" t="str">
        <f ca="1"/>
        <v>ENJU3 BZ Equity</v>
      </c>
      <c r="B122" s="1" t="str">
        <f ca="1"/>
        <v>2024-10-28</v>
      </c>
      <c r="C122" t="str">
        <f ca="1"/>
        <v>TRAIL_12M_NET_INC</v>
      </c>
      <c r="D122" s="4" t="str">
        <f ca="1"/>
        <v>-57.076000</v>
      </c>
      <c r="P122" t="s">
        <v>96</v>
      </c>
      <c r="R122" s="1"/>
    </row>
    <row r="123" spans="1:18" x14ac:dyDescent="0.25">
      <c r="A123" t="str">
        <f ca="1"/>
        <v>AESB3 BZ Equity</v>
      </c>
      <c r="B123" s="1" t="str">
        <f ca="1"/>
        <v>2024-10-28</v>
      </c>
      <c r="C123" t="str">
        <f ca="1"/>
        <v>TRAIL_12M_NET_INC</v>
      </c>
      <c r="D123" s="4" t="str">
        <f ca="1"/>
        <v>-133.323000</v>
      </c>
      <c r="P123" t="s">
        <v>97</v>
      </c>
      <c r="R123" s="1"/>
    </row>
    <row r="124" spans="1:18" x14ac:dyDescent="0.25">
      <c r="A124" t="str">
        <f ca="1"/>
        <v>ARML3 BZ Equity</v>
      </c>
      <c r="B124" s="1" t="str">
        <f ca="1"/>
        <v>2024-10-28</v>
      </c>
      <c r="C124" t="str">
        <f ca="1"/>
        <v>TRAIL_12M_NET_INC</v>
      </c>
      <c r="D124" s="4" t="str">
        <f ca="1"/>
        <v>197.135000</v>
      </c>
      <c r="P124" t="s">
        <v>98</v>
      </c>
      <c r="R124" s="1"/>
    </row>
    <row r="125" spans="1:18" x14ac:dyDescent="0.25">
      <c r="A125" t="str">
        <f ca="1"/>
        <v>TIMS3 BZ Equity</v>
      </c>
      <c r="B125" s="1" t="str">
        <f ca="1"/>
        <v>2024-10-28</v>
      </c>
      <c r="C125" t="str">
        <f ca="1"/>
        <v>TRAIL_12M_NET_INC</v>
      </c>
      <c r="D125" s="4" t="str">
        <f ca="1"/>
        <v>3099.157000</v>
      </c>
      <c r="P125" t="s">
        <v>99</v>
      </c>
      <c r="R125" s="1"/>
    </row>
    <row r="126" spans="1:18" x14ac:dyDescent="0.25">
      <c r="A126" t="str">
        <f ca="1"/>
        <v>UNIP6 BZ Equity</v>
      </c>
      <c r="B126" s="1" t="str">
        <f ca="1"/>
        <v>2024-10-28</v>
      </c>
      <c r="C126" t="str">
        <f ca="1"/>
        <v>TRAIL_12M_NET_INC</v>
      </c>
      <c r="D126" s="4" t="str">
        <f ca="1"/>
        <v>494.828000</v>
      </c>
      <c r="P126" t="s">
        <v>100</v>
      </c>
      <c r="R126" s="1"/>
    </row>
    <row r="127" spans="1:18" x14ac:dyDescent="0.25">
      <c r="A127" t="str">
        <f ca="1"/>
        <v>AURE3 BZ Equity</v>
      </c>
      <c r="B127" s="1" t="str">
        <f ca="1"/>
        <v>2024-10-28</v>
      </c>
      <c r="C127" t="str">
        <f ca="1"/>
        <v>TRAIL_12M_NET_INC</v>
      </c>
      <c r="D127" s="4" t="str">
        <f ca="1"/>
        <v>-385.816000</v>
      </c>
      <c r="P127" t="s">
        <v>140</v>
      </c>
      <c r="R127" s="1"/>
    </row>
    <row r="128" spans="1:18" x14ac:dyDescent="0.25">
      <c r="A128" t="str">
        <f ca="1"/>
        <v>GGBR4 BZ Equity</v>
      </c>
      <c r="B128" s="1" t="str">
        <f ca="1"/>
        <v>2024-10-28</v>
      </c>
      <c r="C128" t="str">
        <f ca="1"/>
        <v>TRAIL_12M_NET_INC</v>
      </c>
      <c r="D128" s="4" t="str">
        <f ca="1"/>
        <v>5062.629000</v>
      </c>
      <c r="P128" t="s">
        <v>101</v>
      </c>
      <c r="R128" s="1"/>
    </row>
    <row r="129" spans="1:18" x14ac:dyDescent="0.25">
      <c r="A129" t="str">
        <f ca="1"/>
        <v>MRFG3 BZ Equity</v>
      </c>
      <c r="B129" s="1" t="str">
        <f ca="1"/>
        <v>2024-10-28</v>
      </c>
      <c r="C129" t="str">
        <f ca="1"/>
        <v>TRAIL_12M_NET_INC</v>
      </c>
      <c r="D129" s="4" t="str">
        <f ca="1"/>
        <v>-1156.703000</v>
      </c>
      <c r="P129" t="s">
        <v>102</v>
      </c>
      <c r="R129" s="1"/>
    </row>
    <row r="130" spans="1:18" x14ac:dyDescent="0.25">
      <c r="A130" t="str">
        <f ca="1"/>
        <v>QUAL3 BZ Equity</v>
      </c>
      <c r="B130" s="1" t="str">
        <f ca="1"/>
        <v>2024-10-28</v>
      </c>
      <c r="C130" t="str">
        <f ca="1"/>
        <v>TRAIL_12M_NET_INC</v>
      </c>
      <c r="D130" s="4" t="str">
        <f ca="1"/>
        <v>-82.673000</v>
      </c>
      <c r="P130" t="s">
        <v>166</v>
      </c>
      <c r="R130" s="1"/>
    </row>
    <row r="131" spans="1:18" x14ac:dyDescent="0.25">
      <c r="A131" t="str">
        <f ca="1"/>
        <v>CRFB3 BZ Equity</v>
      </c>
      <c r="B131" s="1" t="str">
        <f ca="1"/>
        <v>2024-10-28</v>
      </c>
      <c r="C131" t="str">
        <f ca="1"/>
        <v>TRAIL_12M_NET_INC</v>
      </c>
      <c r="D131" s="4" t="str">
        <f ca="1"/>
        <v>-64.000000</v>
      </c>
      <c r="P131" t="s">
        <v>103</v>
      </c>
      <c r="R131" s="1"/>
    </row>
    <row r="132" spans="1:18" x14ac:dyDescent="0.25">
      <c r="A132" t="str">
        <f ca="1"/>
        <v>BHIA3 BZ Equity</v>
      </c>
      <c r="B132" s="1" t="str">
        <f ca="1"/>
        <v>2024-10-28</v>
      </c>
      <c r="C132" t="str">
        <f ca="1"/>
        <v>TRAIL_12M_NET_INC</v>
      </c>
      <c r="D132" s="4" t="str">
        <f ca="1"/>
        <v>-2060.000000</v>
      </c>
      <c r="P132" t="s">
        <v>104</v>
      </c>
      <c r="R132" s="1"/>
    </row>
    <row r="133" spans="1:18" x14ac:dyDescent="0.25">
      <c r="A133" t="str">
        <f ca="1"/>
        <v>CCRO3 BZ Equity</v>
      </c>
      <c r="B133" s="1" t="str">
        <f ca="1"/>
        <v>2024-10-28</v>
      </c>
      <c r="C133" t="str">
        <f ca="1"/>
        <v>TRAIL_12M_NET_INC</v>
      </c>
      <c r="D133" s="4" t="str">
        <f ca="1"/>
        <v>1414.136000</v>
      </c>
      <c r="P133" t="s">
        <v>141</v>
      </c>
      <c r="R133" s="1"/>
    </row>
    <row r="134" spans="1:18" x14ac:dyDescent="0.25">
      <c r="A134" t="str">
        <f ca="1"/>
        <v>CURY3 BZ Equity</v>
      </c>
      <c r="B134" s="1" t="str">
        <f ca="1"/>
        <v>2024-10-28</v>
      </c>
      <c r="C134" t="str">
        <f ca="1"/>
        <v>TRAIL_12M_NET_INC</v>
      </c>
      <c r="D134" s="4" t="str">
        <f ca="1"/>
        <v>582.031000</v>
      </c>
      <c r="P134" t="s">
        <v>105</v>
      </c>
      <c r="R134" s="1"/>
    </row>
    <row r="135" spans="1:18" x14ac:dyDescent="0.25">
      <c r="A135" t="str">
        <f ca="1"/>
        <v>DXCO3 BZ Equity</v>
      </c>
      <c r="B135" s="1" t="str">
        <f ca="1"/>
        <v>2024-10-28</v>
      </c>
      <c r="C135" t="str">
        <f ca="1"/>
        <v>TRAIL_12M_NET_INC</v>
      </c>
      <c r="D135" s="4" t="str">
        <f ca="1"/>
        <v>541.844000</v>
      </c>
      <c r="P135" t="s">
        <v>106</v>
      </c>
      <c r="R135" s="1"/>
    </row>
    <row r="136" spans="1:18" x14ac:dyDescent="0.25">
      <c r="A136" t="str">
        <f ca="1"/>
        <v>SIMH3 BZ Equity</v>
      </c>
      <c r="B136" s="1" t="str">
        <f ca="1"/>
        <v>2024-10-28</v>
      </c>
      <c r="C136" t="str">
        <f ca="1"/>
        <v>TRAIL_12M_NET_INC</v>
      </c>
      <c r="D136" s="4" t="str">
        <f ca="1"/>
        <v>-477.495000</v>
      </c>
      <c r="P136" t="s">
        <v>107</v>
      </c>
      <c r="R136" s="1"/>
    </row>
    <row r="137" spans="1:18" x14ac:dyDescent="0.25">
      <c r="A137" t="str">
        <f ca="1"/>
        <v>DASA3 BZ Equity</v>
      </c>
      <c r="B137" s="1" t="str">
        <f ca="1"/>
        <v>2024-10-28</v>
      </c>
      <c r="C137" t="str">
        <f ca="1"/>
        <v>TRAIL_12M_NET_INC</v>
      </c>
      <c r="D137" s="4" t="str">
        <f ca="1"/>
        <v>-998.444000</v>
      </c>
      <c r="P137" t="s">
        <v>167</v>
      </c>
      <c r="R137" s="1"/>
    </row>
    <row r="138" spans="1:18" x14ac:dyDescent="0.25">
      <c r="A138" t="str">
        <f ca="1"/>
        <v>TIMS3 BZ Equity</v>
      </c>
      <c r="B138" s="1" t="str">
        <f ca="1"/>
        <v>2024-10-28</v>
      </c>
      <c r="C138" t="str">
        <f ca="1"/>
        <v>TRAIL_12M_NET_INC</v>
      </c>
      <c r="D138" s="4" t="str">
        <f ca="1"/>
        <v>3099.157000</v>
      </c>
      <c r="P138" t="s">
        <v>168</v>
      </c>
      <c r="R138" s="1"/>
    </row>
    <row r="139" spans="1:18" x14ac:dyDescent="0.25">
      <c r="A139" t="str">
        <f ca="1"/>
        <v>RAIL3 BZ Equity</v>
      </c>
      <c r="B139" s="1" t="str">
        <f ca="1"/>
        <v>2024-10-28</v>
      </c>
      <c r="C139" t="str">
        <f ca="1"/>
        <v>TRAIL_12M_NET_INC</v>
      </c>
      <c r="D139" s="4" t="str">
        <f ca="1"/>
        <v>-896.116000</v>
      </c>
      <c r="P139" t="s">
        <v>142</v>
      </c>
      <c r="R139" s="1"/>
    </row>
    <row r="140" spans="1:18" x14ac:dyDescent="0.25">
      <c r="A140" t="str">
        <f ca="1"/>
        <v>ITSA4 BZ Equity</v>
      </c>
      <c r="B140" s="1" t="str">
        <f ca="1"/>
        <v>2024-10-28</v>
      </c>
      <c r="C140" t="str">
        <f ca="1"/>
        <v>TRAIL_12M_NET_INC</v>
      </c>
      <c r="D140" s="4" t="str">
        <f ca="1"/>
        <v>14312.000000</v>
      </c>
      <c r="P140" t="s">
        <v>169</v>
      </c>
      <c r="R140" s="1"/>
    </row>
    <row r="141" spans="1:18" x14ac:dyDescent="0.25">
      <c r="A141" t="str">
        <f ca="1"/>
        <v>AZZA3 BZ Equity</v>
      </c>
      <c r="B141" s="1" t="str">
        <f ca="1"/>
        <v>2024-10-28</v>
      </c>
      <c r="C141" t="str">
        <f ca="1"/>
        <v>TRAIL_12M_NET_INC</v>
      </c>
      <c r="D141" s="4" t="str">
        <f ca="1"/>
        <v>438.151000</v>
      </c>
      <c r="P141" t="s">
        <v>108</v>
      </c>
      <c r="R141" s="1"/>
    </row>
    <row r="142" spans="1:18" x14ac:dyDescent="0.25">
      <c r="A142" t="str">
        <f ca="1"/>
        <v>COGN3 BZ Equity</v>
      </c>
      <c r="B142" s="1" t="str">
        <f ca="1"/>
        <v>2024-10-28</v>
      </c>
      <c r="C142" t="str">
        <f ca="1"/>
        <v>TRAIL_12M_NET_INC</v>
      </c>
      <c r="D142" s="4" t="str">
        <f ca="1"/>
        <v>-516.798000</v>
      </c>
      <c r="P142" t="s">
        <v>109</v>
      </c>
      <c r="R142" s="1"/>
    </row>
    <row r="143" spans="1:18" x14ac:dyDescent="0.25">
      <c r="A143" t="str">
        <f ca="1"/>
        <v>VBBR3 BZ Equity</v>
      </c>
      <c r="B143" s="1" t="str">
        <f ca="1"/>
        <v>2024-10-28</v>
      </c>
      <c r="C143" t="str">
        <f ca="1"/>
        <v>TRAIL_12M_NET_INC</v>
      </c>
      <c r="D143" s="4" t="str">
        <f ca="1"/>
        <v>6208.000000</v>
      </c>
      <c r="P143" t="s">
        <v>170</v>
      </c>
      <c r="R143" s="1"/>
    </row>
    <row r="144" spans="1:18" x14ac:dyDescent="0.25">
      <c r="A144" t="str">
        <f ca="1"/>
        <v>UGPA3 BZ Equity</v>
      </c>
      <c r="B144" s="1" t="str">
        <f ca="1"/>
        <v>2024-10-28</v>
      </c>
      <c r="C144" t="str">
        <f ca="1"/>
        <v>TRAIL_12M_NET_INC</v>
      </c>
      <c r="D144" s="4" t="str">
        <f ca="1"/>
        <v>2833.243000</v>
      </c>
      <c r="P144" t="s">
        <v>171</v>
      </c>
      <c r="R144" s="1"/>
    </row>
    <row r="145" spans="1:18" x14ac:dyDescent="0.25">
      <c r="A145" t="str">
        <f ca="1"/>
        <v>ELET3 BZ Equity</v>
      </c>
      <c r="B145" s="1" t="str">
        <f ca="1"/>
        <v>2024-10-28</v>
      </c>
      <c r="C145" t="str">
        <f ca="1"/>
        <v>TRAIL_12M_NET_INC</v>
      </c>
      <c r="D145" s="4" t="str">
        <f ca="1"/>
        <v>4444.284000</v>
      </c>
      <c r="P145" t="s">
        <v>110</v>
      </c>
      <c r="R145" s="1"/>
    </row>
    <row r="146" spans="1:18" x14ac:dyDescent="0.25">
      <c r="A146" t="str">
        <f ca="1"/>
        <v>BEEF3 BZ Equity</v>
      </c>
      <c r="B146" s="1" t="str">
        <f ca="1"/>
        <v>2024-10-28</v>
      </c>
      <c r="C146" t="str">
        <f ca="1"/>
        <v>TRAIL_12M_NET_INC</v>
      </c>
      <c r="D146" s="4" t="str">
        <f ca="1"/>
        <v>70.763000</v>
      </c>
      <c r="P146" t="s">
        <v>111</v>
      </c>
      <c r="R146" s="1"/>
    </row>
    <row r="147" spans="1:18" x14ac:dyDescent="0.25">
      <c r="A147" t="str">
        <f ca="1"/>
        <v>RRRP3 BZ Equity</v>
      </c>
      <c r="B147" s="1" t="str">
        <f ca="1"/>
        <v>2024-10-28</v>
      </c>
      <c r="C147" t="str">
        <f ca="1"/>
        <v>TRAIL_12M_NET_INC</v>
      </c>
      <c r="D147" s="4" t="str">
        <f ca="1"/>
        <v>-284.741000</v>
      </c>
      <c r="P147" t="s">
        <v>41</v>
      </c>
      <c r="R147" s="1"/>
    </row>
    <row r="148" spans="1:18" x14ac:dyDescent="0.25">
      <c r="A148" t="str">
        <f ca="1"/>
        <v>RADL3 BZ Equity</v>
      </c>
      <c r="B148" s="1" t="str">
        <f ca="1"/>
        <v>2024-10-28</v>
      </c>
      <c r="C148" t="str">
        <f ca="1"/>
        <v>TRAIL_12M_NET_INC</v>
      </c>
      <c r="D148" s="4" t="str">
        <f ca="1"/>
        <v>1038.971000</v>
      </c>
      <c r="P148" t="s">
        <v>112</v>
      </c>
      <c r="R148" s="1"/>
    </row>
    <row r="149" spans="1:18" x14ac:dyDescent="0.25">
      <c r="A149" t="str">
        <f ca="1"/>
        <v>AMER3 BZ Equity</v>
      </c>
      <c r="B149" s="1" t="str">
        <f ca="1"/>
        <v>2024-10-28</v>
      </c>
      <c r="C149" t="str">
        <f ca="1"/>
        <v>TRAIL_12M_NET_INC</v>
      </c>
      <c r="D149" s="4" t="str">
        <f ca="1"/>
        <v>-694.000000</v>
      </c>
      <c r="P149" t="s">
        <v>113</v>
      </c>
      <c r="R149" s="1"/>
    </row>
    <row r="150" spans="1:18" x14ac:dyDescent="0.25">
      <c r="A150" t="str">
        <f ca="1"/>
        <v>MULT3 BZ Equity</v>
      </c>
      <c r="B150" s="1" t="str">
        <f ca="1"/>
        <v>2024-10-28</v>
      </c>
      <c r="C150" t="str">
        <f ca="1"/>
        <v>TRAIL_12M_NET_INC</v>
      </c>
      <c r="D150" s="4" t="str">
        <f ca="1"/>
        <v>1130.916000</v>
      </c>
      <c r="P150" t="s">
        <v>172</v>
      </c>
      <c r="R150" s="1"/>
    </row>
    <row r="151" spans="1:18" x14ac:dyDescent="0.25">
      <c r="A151" t="str">
        <f ca="1"/>
        <v>LREN3 BZ Equity</v>
      </c>
      <c r="B151" s="1" t="str">
        <f ca="1"/>
        <v>2024-10-28</v>
      </c>
      <c r="C151" t="str">
        <f ca="1"/>
        <v>TRAIL_12M_NET_INC</v>
      </c>
      <c r="D151" s="4" t="str">
        <f ca="1"/>
        <v>1154.027000</v>
      </c>
      <c r="P151" t="s">
        <v>114</v>
      </c>
      <c r="R151" s="1"/>
    </row>
    <row r="152" spans="1:18" x14ac:dyDescent="0.25">
      <c r="A152" t="str">
        <f ca="1"/>
        <v>VIVT3 BZ Equity</v>
      </c>
      <c r="B152" s="1" t="str">
        <f ca="1"/>
        <v>2024-10-28</v>
      </c>
      <c r="C152" t="str">
        <f ca="1"/>
        <v>TRAIL_12M_NET_INC</v>
      </c>
      <c r="D152" s="4" t="str">
        <f ca="1"/>
        <v>5189.650000</v>
      </c>
      <c r="P152" t="s">
        <v>115</v>
      </c>
      <c r="R152" s="1"/>
    </row>
    <row r="153" spans="1:18" x14ac:dyDescent="0.25">
      <c r="A153" t="str">
        <f ca="1"/>
        <v>TUPY3 BZ Equity</v>
      </c>
      <c r="B153" s="1" t="str">
        <f ca="1"/>
        <v>2024-10-28</v>
      </c>
      <c r="C153" t="str">
        <f ca="1"/>
        <v>TRAIL_12M_NET_INC</v>
      </c>
      <c r="D153" s="4" t="str">
        <f ca="1"/>
        <v>441.523000</v>
      </c>
      <c r="P153" t="s">
        <v>173</v>
      </c>
      <c r="R153" s="1"/>
    </row>
    <row r="154" spans="1:18" x14ac:dyDescent="0.25">
      <c r="A154" t="str">
        <f ca="1"/>
        <v>INTB3 BZ Equity</v>
      </c>
      <c r="B154" s="1" t="str">
        <f ca="1"/>
        <v>2024-10-28</v>
      </c>
      <c r="C154" t="str">
        <f ca="1"/>
        <v>TRAIL_12M_NET_INC</v>
      </c>
      <c r="D154" s="4" t="str">
        <f ca="1"/>
        <v>566.812000</v>
      </c>
      <c r="P154" t="s">
        <v>116</v>
      </c>
      <c r="R154" s="1"/>
    </row>
    <row r="155" spans="1:18" x14ac:dyDescent="0.25">
      <c r="A155" t="str">
        <f ca="1"/>
        <v>EQTL3 BZ Equity</v>
      </c>
      <c r="B155" s="1" t="str">
        <f ca="1"/>
        <v>2024-10-28</v>
      </c>
      <c r="C155" t="str">
        <f ca="1"/>
        <v>TRAIL_12M_NET_INC</v>
      </c>
      <c r="D155" s="4" t="str">
        <f ca="1"/>
        <v>2182.127000</v>
      </c>
      <c r="P155" t="s">
        <v>117</v>
      </c>
      <c r="R155" s="1"/>
    </row>
    <row r="156" spans="1:18" x14ac:dyDescent="0.25">
      <c r="A156" t="str">
        <f ca="1"/>
        <v>MDIA3 BZ Equity</v>
      </c>
      <c r="B156" s="1" t="str">
        <f ca="1"/>
        <v>2024-10-28</v>
      </c>
      <c r="C156" t="str">
        <f ca="1"/>
        <v>TRAIL_12M_NET_INC</v>
      </c>
      <c r="D156" s="4" t="str">
        <f ca="1"/>
        <v>945.688000</v>
      </c>
      <c r="P156" t="s">
        <v>118</v>
      </c>
      <c r="R156" s="1"/>
    </row>
    <row r="157" spans="1:18" x14ac:dyDescent="0.25">
      <c r="A157" t="str">
        <f ca="1"/>
        <v>PINE4 BZ Equity</v>
      </c>
      <c r="B157" s="1" t="str">
        <f ca="1"/>
        <v>2024-10-28</v>
      </c>
      <c r="C157" t="str">
        <f ca="1"/>
        <v>TRAIL_12M_NET_INC</v>
      </c>
      <c r="D157" s="4" t="str">
        <f ca="1"/>
        <v>234.253000</v>
      </c>
      <c r="P157" t="s">
        <v>90</v>
      </c>
      <c r="R157" s="1"/>
    </row>
    <row r="158" spans="1:18" x14ac:dyDescent="0.25">
      <c r="A158" t="str">
        <f ca="1"/>
        <v>OIBR3 BZ Equity</v>
      </c>
      <c r="B158" s="1" t="str">
        <f ca="1"/>
        <v>2024-10-28</v>
      </c>
      <c r="C158" t="str">
        <f ca="1"/>
        <v>TRAIL_12M_NET_INC</v>
      </c>
      <c r="D158" s="4" t="str">
        <f ca="1"/>
        <v>8954.694000</v>
      </c>
      <c r="P158" t="s">
        <v>119</v>
      </c>
      <c r="R158" s="1"/>
    </row>
    <row r="159" spans="1:18" x14ac:dyDescent="0.25">
      <c r="A159" t="str">
        <f ca="1"/>
        <v>ENEV3 BZ Equity</v>
      </c>
      <c r="B159" s="1" t="str">
        <f ca="1"/>
        <v>2024-10-28</v>
      </c>
      <c r="C159" t="str">
        <f ca="1"/>
        <v>TRAIL_12M_NET_INC</v>
      </c>
      <c r="D159" s="4" t="str">
        <f ca="1"/>
        <v>628.346000</v>
      </c>
      <c r="P159" t="s">
        <v>174</v>
      </c>
      <c r="R159" s="1"/>
    </row>
    <row r="160" spans="1:18" x14ac:dyDescent="0.25">
      <c r="A160" t="str">
        <f ca="1"/>
        <v>SMFT3 BZ Equity</v>
      </c>
      <c r="B160" s="1" t="str">
        <f ca="1"/>
        <v>2024-10-28</v>
      </c>
      <c r="C160" t="str">
        <f ca="1"/>
        <v>TRAIL_12M_NET_INC</v>
      </c>
      <c r="D160" s="4" t="str">
        <f ca="1"/>
        <v>879.991000</v>
      </c>
      <c r="P160" t="s">
        <v>120</v>
      </c>
      <c r="R160" s="1"/>
    </row>
    <row r="161" spans="1:18" x14ac:dyDescent="0.25">
      <c r="A161" t="str">
        <f ca="1"/>
        <v>EMBR3 BZ Equity</v>
      </c>
      <c r="B161" s="1" t="str">
        <f ca="1"/>
        <v>2024-10-28</v>
      </c>
      <c r="C161" t="str">
        <f ca="1"/>
        <v>TRAIL_12M_NET_INC</v>
      </c>
      <c r="D161" s="4" t="str">
        <f ca="1"/>
        <v>1911.518000</v>
      </c>
      <c r="P161" t="s">
        <v>121</v>
      </c>
      <c r="R161" s="1"/>
    </row>
    <row r="162" spans="1:18" x14ac:dyDescent="0.25">
      <c r="A162" t="str">
        <f ca="1"/>
        <v>CPFE3 BZ Equity</v>
      </c>
      <c r="B162" s="1" t="str">
        <f ca="1"/>
        <v>2024-10-28</v>
      </c>
      <c r="C162" t="str">
        <f ca="1"/>
        <v>TRAIL_12M_NET_INC</v>
      </c>
      <c r="D162" s="4" t="str">
        <f ca="1"/>
        <v>5470.519000</v>
      </c>
      <c r="P162" t="s">
        <v>122</v>
      </c>
      <c r="R162" s="1"/>
    </row>
    <row r="163" spans="1:18" x14ac:dyDescent="0.25">
      <c r="A163" t="str">
        <f ca="1"/>
        <v>TASA4 BZ Equity</v>
      </c>
      <c r="B163" s="1" t="str">
        <f ca="1"/>
        <v>2024-10-28</v>
      </c>
      <c r="C163" t="str">
        <f ca="1"/>
        <v>TRAIL_12M_NET_INC</v>
      </c>
      <c r="D163" s="4" t="str">
        <f ca="1"/>
        <v>78.489000</v>
      </c>
      <c r="P163" t="s">
        <v>123</v>
      </c>
      <c r="R163" s="1"/>
    </row>
    <row r="164" spans="1:18" x14ac:dyDescent="0.25">
      <c r="A164" t="str">
        <f ca="1"/>
        <v>SLCE3 BZ Equity</v>
      </c>
      <c r="B164" s="1" t="str">
        <f ca="1"/>
        <v>2024-10-28</v>
      </c>
      <c r="C164" t="str">
        <f ca="1"/>
        <v>TRAIL_12M_NET_INC</v>
      </c>
      <c r="D164" s="4" t="str">
        <f ca="1"/>
        <v>565.685000</v>
      </c>
      <c r="P164" t="s">
        <v>124</v>
      </c>
      <c r="R164" s="1"/>
    </row>
    <row r="165" spans="1:18" x14ac:dyDescent="0.25">
      <c r="A165" t="str">
        <f ca="1"/>
        <v>POMO4 BZ Equity</v>
      </c>
      <c r="B165" s="1" t="str">
        <f ca="1"/>
        <v>2024-10-28</v>
      </c>
      <c r="C165" t="str">
        <f ca="1"/>
        <v>TRAIL_12M_NET_INC</v>
      </c>
      <c r="D165" s="4" t="str">
        <f ca="1"/>
        <v>991.913000</v>
      </c>
      <c r="P165" t="s">
        <v>125</v>
      </c>
      <c r="R165" s="1"/>
    </row>
    <row r="166" spans="1:18" x14ac:dyDescent="0.25">
      <c r="A166" t="str">
        <f ca="1"/>
        <v>ELMD3 BZ Equity</v>
      </c>
      <c r="B166" s="1" t="str">
        <f ca="1"/>
        <v>2024-10-28</v>
      </c>
      <c r="C166" t="str">
        <f ca="1"/>
        <v>TRAIL_12M_NET_INC</v>
      </c>
      <c r="D166" s="4" t="str">
        <f ca="1"/>
        <v>95.525000</v>
      </c>
      <c r="P166" t="s">
        <v>78</v>
      </c>
      <c r="R166" s="1"/>
    </row>
    <row r="167" spans="1:18" x14ac:dyDescent="0.25">
      <c r="A167" t="str">
        <f ca="1"/>
        <v>MELK3 BZ Equity</v>
      </c>
      <c r="B167" s="1" t="str">
        <f ca="1"/>
        <v>2024-10-28</v>
      </c>
      <c r="C167" t="str">
        <f ca="1"/>
        <v>TRAIL_12M_NET_INC</v>
      </c>
      <c r="D167" s="4" t="str">
        <f ca="1"/>
        <v>63.554000</v>
      </c>
      <c r="P167" t="s">
        <v>126</v>
      </c>
      <c r="R167" s="1"/>
    </row>
    <row r="168" spans="1:18" x14ac:dyDescent="0.25">
      <c r="A168" t="str">
        <f ca="1"/>
        <v>PSSA3 BZ Equity</v>
      </c>
      <c r="B168" s="1" t="str">
        <f ca="1"/>
        <v>2024-10-28</v>
      </c>
      <c r="C168" t="str">
        <f ca="1"/>
        <v>TRAIL_12M_NET_INC</v>
      </c>
      <c r="D168" s="4" t="str">
        <f ca="1"/>
        <v>2462.790000</v>
      </c>
      <c r="P168" t="s">
        <v>136</v>
      </c>
      <c r="R168" s="1"/>
    </row>
    <row r="169" spans="1:18" x14ac:dyDescent="0.25">
      <c r="A169" t="str">
        <f ca="1"/>
        <v>PETZ3 BZ Equity</v>
      </c>
      <c r="B169" s="1" t="str">
        <f ca="1"/>
        <v>2024-10-28</v>
      </c>
      <c r="C169" t="str">
        <f ca="1"/>
        <v>TRAIL_12M_NET_INC</v>
      </c>
      <c r="D169" s="4" t="str">
        <f ca="1"/>
        <v>-4.946000</v>
      </c>
      <c r="P169" t="s">
        <v>175</v>
      </c>
      <c r="R169" s="1"/>
    </row>
    <row r="170" spans="1:18" x14ac:dyDescent="0.25">
      <c r="A170" t="str">
        <f ca="1"/>
        <v>CEAB3 BZ Equity</v>
      </c>
      <c r="B170" s="1" t="str">
        <f ca="1"/>
        <v>2024-10-28</v>
      </c>
      <c r="C170" t="str">
        <f ca="1"/>
        <v>TRAIL_12M_NET_INC</v>
      </c>
      <c r="D170" s="4" t="str">
        <f ca="1"/>
        <v>279.169000</v>
      </c>
      <c r="P170" t="s">
        <v>127</v>
      </c>
      <c r="R170" s="1"/>
    </row>
    <row r="171" spans="1:18" x14ac:dyDescent="0.25">
      <c r="A171" t="str">
        <f ca="1"/>
        <v>ODPV3 BZ Equity</v>
      </c>
      <c r="B171" s="1" t="str">
        <f ca="1"/>
        <v>2024-10-28</v>
      </c>
      <c r="C171" t="str">
        <f ca="1"/>
        <v>TRAIL_12M_NET_INC</v>
      </c>
      <c r="D171" s="4" t="str">
        <f ca="1"/>
        <v>525.680000</v>
      </c>
      <c r="P171" t="s">
        <v>128</v>
      </c>
      <c r="R171" s="1"/>
    </row>
    <row r="172" spans="1:18" x14ac:dyDescent="0.25">
      <c r="A172" t="str">
        <f ca="1"/>
        <v>ALPA4 BZ Equity</v>
      </c>
      <c r="B172" s="1" t="str">
        <f ca="1"/>
        <v>2024-10-28</v>
      </c>
      <c r="C172" t="str">
        <f ca="1"/>
        <v>TRAIL_12M_NET_INC</v>
      </c>
      <c r="D172" s="4" t="str">
        <f ca="1"/>
        <v>-1565.817000</v>
      </c>
      <c r="P172" t="s">
        <v>176</v>
      </c>
      <c r="R172" s="1"/>
    </row>
    <row r="173" spans="1:18" x14ac:dyDescent="0.25">
      <c r="A173" t="str">
        <f ca="1"/>
        <v>GMAT3 BZ Equity</v>
      </c>
      <c r="B173" s="1" t="str">
        <f ca="1"/>
        <v>2024-10-28</v>
      </c>
      <c r="C173" t="str">
        <f ca="1"/>
        <v>TRAIL_12M_NET_INC</v>
      </c>
      <c r="D173" s="4" t="str">
        <f ca="1"/>
        <v>1256.301000</v>
      </c>
      <c r="P173" t="s">
        <v>177</v>
      </c>
      <c r="R173" s="1"/>
    </row>
    <row r="174" spans="1:18" x14ac:dyDescent="0.25">
      <c r="A174" t="str">
        <f ca="1"/>
        <v>TEND3 BZ Equity</v>
      </c>
      <c r="B174" s="1" t="str">
        <f ca="1"/>
        <v>2024-10-28</v>
      </c>
      <c r="C174" t="str">
        <f ca="1"/>
        <v>TRAIL_12M_NET_INC</v>
      </c>
      <c r="D174" s="4" t="str">
        <f ca="1"/>
        <v>-33.235000</v>
      </c>
      <c r="P174" t="s">
        <v>129</v>
      </c>
      <c r="R174" s="1"/>
    </row>
    <row r="175" spans="1:18" x14ac:dyDescent="0.25">
      <c r="A175" t="str">
        <f ca="1"/>
        <v>RANI3 BZ Equity</v>
      </c>
      <c r="B175" s="1" t="str">
        <f ca="1"/>
        <v>2024-10-28</v>
      </c>
      <c r="C175" t="str">
        <f ca="1"/>
        <v>TRAIL_12M_NET_INC</v>
      </c>
      <c r="D175" s="4" t="str">
        <f ca="1"/>
        <v>152.434000</v>
      </c>
      <c r="P175" t="s">
        <v>130</v>
      </c>
      <c r="R175" s="1"/>
    </row>
    <row r="176" spans="1:18" x14ac:dyDescent="0.25">
      <c r="A176" t="str">
        <f ca="1"/>
        <v>RECV3 BZ Equity</v>
      </c>
      <c r="B176" s="1" t="str">
        <f ca="1"/>
        <v>2024-10-28</v>
      </c>
      <c r="C176" t="str">
        <f ca="1"/>
        <v>TRAIL_12M_NET_INC</v>
      </c>
      <c r="D176" s="4" t="str">
        <f ca="1"/>
        <v>577.998000</v>
      </c>
      <c r="P176" t="s">
        <v>131</v>
      </c>
      <c r="R176" s="1"/>
    </row>
    <row r="177" spans="2:18" x14ac:dyDescent="0.25">
      <c r="B177" s="1"/>
      <c r="P177" t="s">
        <v>132</v>
      </c>
      <c r="R177" s="1"/>
    </row>
    <row r="178" spans="2:18" x14ac:dyDescent="0.25">
      <c r="B178" s="1"/>
      <c r="P178" t="s">
        <v>133</v>
      </c>
      <c r="R178" s="1"/>
    </row>
    <row r="179" spans="2:18" x14ac:dyDescent="0.25">
      <c r="B179" s="1"/>
      <c r="P179" t="s">
        <v>178</v>
      </c>
      <c r="R179" s="1"/>
    </row>
    <row r="180" spans="2:18" x14ac:dyDescent="0.25">
      <c r="B180" s="1"/>
      <c r="P180" t="s">
        <v>134</v>
      </c>
      <c r="R180" s="1"/>
    </row>
    <row r="181" spans="2:18" x14ac:dyDescent="0.25">
      <c r="B181" s="1"/>
      <c r="P181" t="s">
        <v>135</v>
      </c>
      <c r="R181" s="1"/>
    </row>
    <row r="182" spans="2:18" x14ac:dyDescent="0.25">
      <c r="B182" s="1"/>
      <c r="R182" s="1"/>
    </row>
    <row r="183" spans="2:18" x14ac:dyDescent="0.25">
      <c r="B183" s="1"/>
      <c r="R183" s="1"/>
    </row>
    <row r="184" spans="2:18" x14ac:dyDescent="0.25">
      <c r="B184" s="1"/>
      <c r="R184" s="1"/>
    </row>
    <row r="185" spans="2:18" x14ac:dyDescent="0.25">
      <c r="B185" s="1"/>
      <c r="R185" s="1"/>
    </row>
    <row r="186" spans="2:18" x14ac:dyDescent="0.25">
      <c r="B186" s="1"/>
      <c r="R186" s="1"/>
    </row>
    <row r="187" spans="2:18" x14ac:dyDescent="0.25">
      <c r="B187" s="1"/>
      <c r="R187" s="1"/>
    </row>
    <row r="188" spans="2:18" x14ac:dyDescent="0.25">
      <c r="B188" s="1"/>
      <c r="R188" s="1"/>
    </row>
    <row r="189" spans="2:18" x14ac:dyDescent="0.25">
      <c r="B189" s="1"/>
      <c r="R189" s="1"/>
    </row>
    <row r="190" spans="2:18" x14ac:dyDescent="0.25">
      <c r="B190" s="1"/>
      <c r="R190" s="1"/>
    </row>
    <row r="191" spans="2:18" x14ac:dyDescent="0.25">
      <c r="B191" s="1"/>
      <c r="R191" s="1"/>
    </row>
    <row r="192" spans="2:18" x14ac:dyDescent="0.25">
      <c r="B192" s="1"/>
      <c r="R192" s="1"/>
    </row>
    <row r="193" spans="2:18" x14ac:dyDescent="0.25">
      <c r="B193" s="1"/>
      <c r="R193" s="1"/>
    </row>
    <row r="194" spans="2:18" x14ac:dyDescent="0.25">
      <c r="B194" s="1"/>
      <c r="R194" s="1"/>
    </row>
    <row r="195" spans="2:18" x14ac:dyDescent="0.25">
      <c r="B195" s="1"/>
      <c r="R195" s="1"/>
    </row>
    <row r="196" spans="2:18" x14ac:dyDescent="0.25">
      <c r="B196" s="1"/>
      <c r="R196" s="1"/>
    </row>
    <row r="197" spans="2:18" x14ac:dyDescent="0.25">
      <c r="B197" s="1"/>
      <c r="R197" s="1"/>
    </row>
    <row r="198" spans="2:18" x14ac:dyDescent="0.25">
      <c r="B198" s="1"/>
      <c r="R198" s="1"/>
    </row>
    <row r="199" spans="2:18" x14ac:dyDescent="0.25">
      <c r="B199" s="1"/>
      <c r="R199" s="1"/>
    </row>
    <row r="200" spans="2:18" x14ac:dyDescent="0.25">
      <c r="B200" s="1"/>
      <c r="R200" s="1"/>
    </row>
    <row r="201" spans="2:18" x14ac:dyDescent="0.25">
      <c r="B201" s="1"/>
      <c r="R201" s="1"/>
    </row>
    <row r="202" spans="2:18" x14ac:dyDescent="0.25">
      <c r="B202" s="1"/>
      <c r="R202" s="1"/>
    </row>
    <row r="203" spans="2:18" x14ac:dyDescent="0.25">
      <c r="B203" s="1"/>
      <c r="R203" s="1"/>
    </row>
    <row r="204" spans="2:18" x14ac:dyDescent="0.25">
      <c r="B204" s="1"/>
      <c r="R204" s="1"/>
    </row>
    <row r="205" spans="2:18" x14ac:dyDescent="0.25">
      <c r="B205" s="1"/>
      <c r="R205" s="1"/>
    </row>
    <row r="206" spans="2:18" x14ac:dyDescent="0.25">
      <c r="B206" s="1"/>
      <c r="R206" s="1"/>
    </row>
    <row r="207" spans="2:18" x14ac:dyDescent="0.25">
      <c r="B207" s="1"/>
      <c r="R207" s="1"/>
    </row>
    <row r="208" spans="2:18" x14ac:dyDescent="0.25">
      <c r="B208" s="1"/>
      <c r="R208" s="1"/>
    </row>
    <row r="209" spans="2:18" x14ac:dyDescent="0.25">
      <c r="B209" s="1"/>
      <c r="R209" s="1"/>
    </row>
    <row r="210" spans="2:18" x14ac:dyDescent="0.25">
      <c r="B210" s="1"/>
      <c r="R210" s="1"/>
    </row>
    <row r="211" spans="2:18" x14ac:dyDescent="0.25">
      <c r="B211" s="1"/>
      <c r="R211" s="1"/>
    </row>
    <row r="212" spans="2:18" x14ac:dyDescent="0.25">
      <c r="B212" s="1"/>
      <c r="R212" s="1"/>
    </row>
    <row r="213" spans="2:18" x14ac:dyDescent="0.25">
      <c r="B213" s="1"/>
      <c r="R213" s="1"/>
    </row>
    <row r="214" spans="2:18" x14ac:dyDescent="0.25">
      <c r="B214" s="1"/>
      <c r="R214" s="1"/>
    </row>
    <row r="215" spans="2:18" x14ac:dyDescent="0.25">
      <c r="B215" s="1"/>
      <c r="R215" s="1"/>
    </row>
    <row r="216" spans="2:18" x14ac:dyDescent="0.25">
      <c r="B216" s="1"/>
      <c r="R216" s="1"/>
    </row>
    <row r="217" spans="2:18" x14ac:dyDescent="0.25">
      <c r="B217" s="1"/>
      <c r="R217" s="1"/>
    </row>
    <row r="218" spans="2:18" x14ac:dyDescent="0.25">
      <c r="B218" s="1"/>
      <c r="R218" s="1"/>
    </row>
    <row r="219" spans="2:18" x14ac:dyDescent="0.25">
      <c r="B219" s="1"/>
      <c r="R219" s="1"/>
    </row>
    <row r="220" spans="2:18" x14ac:dyDescent="0.25">
      <c r="B220" s="1"/>
      <c r="R220" s="1"/>
    </row>
    <row r="221" spans="2:18" x14ac:dyDescent="0.25">
      <c r="B221" s="1"/>
      <c r="R221" s="1"/>
    </row>
    <row r="222" spans="2:18" x14ac:dyDescent="0.25">
      <c r="B222" s="1"/>
      <c r="R222" s="1"/>
    </row>
    <row r="223" spans="2:18" x14ac:dyDescent="0.25">
      <c r="B223" s="1"/>
      <c r="R223" s="1"/>
    </row>
    <row r="224" spans="2:18" x14ac:dyDescent="0.25">
      <c r="B224" s="1"/>
      <c r="R224" s="1"/>
    </row>
    <row r="225" spans="2:18" x14ac:dyDescent="0.25">
      <c r="B225" s="1"/>
      <c r="R225" s="1"/>
    </row>
    <row r="226" spans="2:18" x14ac:dyDescent="0.25">
      <c r="B226" s="1"/>
      <c r="R226" s="1"/>
    </row>
    <row r="227" spans="2:18" x14ac:dyDescent="0.25">
      <c r="B227" s="1"/>
      <c r="R227" s="1"/>
    </row>
    <row r="228" spans="2:18" x14ac:dyDescent="0.25">
      <c r="B228" s="1"/>
      <c r="R228" s="1"/>
    </row>
    <row r="229" spans="2:18" x14ac:dyDescent="0.25">
      <c r="B229" s="1"/>
      <c r="R229" s="1"/>
    </row>
    <row r="230" spans="2:18" x14ac:dyDescent="0.25">
      <c r="B230" s="1"/>
      <c r="R230" s="1"/>
    </row>
    <row r="231" spans="2:18" x14ac:dyDescent="0.25">
      <c r="B231" s="1"/>
      <c r="R231" s="1"/>
    </row>
    <row r="232" spans="2:18" x14ac:dyDescent="0.25">
      <c r="B232" s="1"/>
      <c r="R232" s="1"/>
    </row>
    <row r="233" spans="2:18" x14ac:dyDescent="0.25">
      <c r="B233" s="1"/>
      <c r="R233" s="1"/>
    </row>
    <row r="234" spans="2:18" x14ac:dyDescent="0.25">
      <c r="B234" s="1"/>
      <c r="R234" s="1"/>
    </row>
    <row r="235" spans="2:18" x14ac:dyDescent="0.25">
      <c r="B235" s="1"/>
      <c r="R235" s="1"/>
    </row>
    <row r="236" spans="2:18" x14ac:dyDescent="0.25">
      <c r="B236" s="1"/>
      <c r="R236" s="1"/>
    </row>
    <row r="237" spans="2:18" x14ac:dyDescent="0.25">
      <c r="B237" s="1"/>
      <c r="R237" s="1"/>
    </row>
    <row r="238" spans="2:18" x14ac:dyDescent="0.25">
      <c r="B238" s="1"/>
      <c r="R238" s="1"/>
    </row>
    <row r="239" spans="2:18" x14ac:dyDescent="0.25">
      <c r="B239" s="1"/>
      <c r="R239" s="1"/>
    </row>
    <row r="240" spans="2:18" x14ac:dyDescent="0.25">
      <c r="B240" s="1"/>
      <c r="R240" s="1"/>
    </row>
    <row r="241" spans="2:18" x14ac:dyDescent="0.25">
      <c r="B241" s="1"/>
      <c r="R241" s="1"/>
    </row>
    <row r="242" spans="2:18" x14ac:dyDescent="0.25">
      <c r="B242" s="1"/>
      <c r="R242" s="1"/>
    </row>
    <row r="243" spans="2:18" x14ac:dyDescent="0.25">
      <c r="B243" s="1"/>
      <c r="R243" s="1"/>
    </row>
    <row r="244" spans="2:18" x14ac:dyDescent="0.25">
      <c r="B244" s="1"/>
      <c r="R244" s="1"/>
    </row>
    <row r="245" spans="2:18" x14ac:dyDescent="0.25">
      <c r="B245" s="1"/>
      <c r="R245" s="1"/>
    </row>
    <row r="246" spans="2:18" x14ac:dyDescent="0.25">
      <c r="B246" s="1"/>
      <c r="R246" s="1"/>
    </row>
    <row r="247" spans="2:18" x14ac:dyDescent="0.25">
      <c r="B247" s="1"/>
      <c r="R247" s="1"/>
    </row>
    <row r="248" spans="2:18" x14ac:dyDescent="0.25">
      <c r="B248" s="1"/>
      <c r="R248" s="1"/>
    </row>
    <row r="249" spans="2:18" x14ac:dyDescent="0.25">
      <c r="B249" s="1"/>
      <c r="R249" s="1"/>
    </row>
    <row r="250" spans="2:18" x14ac:dyDescent="0.25">
      <c r="B250" s="1"/>
      <c r="R250" s="1"/>
    </row>
    <row r="251" spans="2:18" x14ac:dyDescent="0.25">
      <c r="B251" s="1"/>
      <c r="R251" s="1"/>
    </row>
    <row r="252" spans="2:18" x14ac:dyDescent="0.25">
      <c r="B252" s="1"/>
      <c r="R252" s="1"/>
    </row>
    <row r="253" spans="2:18" x14ac:dyDescent="0.25">
      <c r="B253" s="1"/>
      <c r="R253" s="1"/>
    </row>
    <row r="254" spans="2:18" x14ac:dyDescent="0.25">
      <c r="B254" s="1"/>
      <c r="R254" s="1"/>
    </row>
    <row r="255" spans="2:18" x14ac:dyDescent="0.25">
      <c r="B255" s="1"/>
      <c r="R255" s="1"/>
    </row>
    <row r="256" spans="2:18" x14ac:dyDescent="0.25">
      <c r="B256" s="1"/>
      <c r="R256" s="1"/>
    </row>
    <row r="257" spans="2:18" x14ac:dyDescent="0.25">
      <c r="B257" s="1"/>
      <c r="R257" s="1"/>
    </row>
    <row r="258" spans="2:18" x14ac:dyDescent="0.25">
      <c r="B258" s="1"/>
      <c r="R258" s="1"/>
    </row>
    <row r="259" spans="2:18" x14ac:dyDescent="0.25">
      <c r="B259" s="1"/>
      <c r="R259" s="1"/>
    </row>
    <row r="260" spans="2:18" x14ac:dyDescent="0.25">
      <c r="B260" s="1"/>
      <c r="R260" s="1"/>
    </row>
    <row r="261" spans="2:18" x14ac:dyDescent="0.25">
      <c r="B261" s="1"/>
      <c r="R261" s="1"/>
    </row>
    <row r="262" spans="2:18" x14ac:dyDescent="0.25">
      <c r="B262" s="1"/>
      <c r="R262" s="1"/>
    </row>
    <row r="263" spans="2:18" x14ac:dyDescent="0.25">
      <c r="B263" s="1"/>
      <c r="R263" s="1"/>
    </row>
    <row r="264" spans="2:18" x14ac:dyDescent="0.25">
      <c r="B264" s="1"/>
      <c r="R264" s="1"/>
    </row>
    <row r="265" spans="2:18" x14ac:dyDescent="0.25">
      <c r="B265" s="1"/>
      <c r="R265" s="1"/>
    </row>
    <row r="266" spans="2:18" x14ac:dyDescent="0.25">
      <c r="B266" s="1"/>
      <c r="R266" s="1"/>
    </row>
    <row r="267" spans="2:18" x14ac:dyDescent="0.25">
      <c r="B267" s="1"/>
      <c r="R267" s="1"/>
    </row>
    <row r="268" spans="2:18" x14ac:dyDescent="0.25">
      <c r="B268" s="1"/>
      <c r="R268" s="1"/>
    </row>
    <row r="269" spans="2:18" x14ac:dyDescent="0.25">
      <c r="B269" s="1"/>
      <c r="R269" s="1"/>
    </row>
    <row r="270" spans="2:18" x14ac:dyDescent="0.25">
      <c r="B270" s="1"/>
      <c r="R270" s="1"/>
    </row>
    <row r="271" spans="2:18" x14ac:dyDescent="0.25">
      <c r="B271" s="1"/>
      <c r="R271" s="1"/>
    </row>
    <row r="272" spans="2:18" x14ac:dyDescent="0.25">
      <c r="B272" s="1"/>
      <c r="R272" s="1"/>
    </row>
    <row r="273" spans="2:18" x14ac:dyDescent="0.25">
      <c r="B273" s="1"/>
      <c r="R273" s="1"/>
    </row>
    <row r="274" spans="2:18" x14ac:dyDescent="0.25">
      <c r="B274" s="1"/>
      <c r="R274" s="1"/>
    </row>
    <row r="275" spans="2:18" x14ac:dyDescent="0.25">
      <c r="B275" s="1"/>
      <c r="R275" s="1"/>
    </row>
    <row r="276" spans="2:18" x14ac:dyDescent="0.25">
      <c r="B276" s="1"/>
      <c r="R276" s="1"/>
    </row>
    <row r="277" spans="2:18" x14ac:dyDescent="0.25">
      <c r="B277" s="1"/>
      <c r="R277" s="1"/>
    </row>
    <row r="278" spans="2:18" x14ac:dyDescent="0.25">
      <c r="B278" s="1"/>
      <c r="R278" s="1"/>
    </row>
    <row r="279" spans="2:18" x14ac:dyDescent="0.25">
      <c r="B279" s="1"/>
      <c r="R279" s="1"/>
    </row>
    <row r="280" spans="2:18" x14ac:dyDescent="0.25">
      <c r="B280" s="1"/>
      <c r="R280" s="1"/>
    </row>
    <row r="281" spans="2:18" x14ac:dyDescent="0.25">
      <c r="B281" s="1"/>
      <c r="R281" s="1"/>
    </row>
    <row r="282" spans="2:18" x14ac:dyDescent="0.25">
      <c r="B282" s="1"/>
      <c r="R282" s="1"/>
    </row>
    <row r="283" spans="2:18" x14ac:dyDescent="0.25">
      <c r="B283" s="1"/>
      <c r="R283" s="1"/>
    </row>
    <row r="284" spans="2:18" x14ac:dyDescent="0.25">
      <c r="B284" s="1"/>
      <c r="R284" s="1"/>
    </row>
    <row r="285" spans="2:18" x14ac:dyDescent="0.25">
      <c r="B285" s="1"/>
      <c r="R285" s="1"/>
    </row>
    <row r="286" spans="2:18" x14ac:dyDescent="0.25">
      <c r="B286" s="1"/>
      <c r="R286" s="1"/>
    </row>
    <row r="287" spans="2:18" x14ac:dyDescent="0.25">
      <c r="B287" s="1"/>
      <c r="R287" s="1"/>
    </row>
    <row r="288" spans="2:18" x14ac:dyDescent="0.25">
      <c r="B288" s="1"/>
      <c r="R288" s="1"/>
    </row>
    <row r="289" spans="2:18" x14ac:dyDescent="0.25">
      <c r="B289" s="1"/>
      <c r="R289" s="1"/>
    </row>
    <row r="290" spans="2:18" x14ac:dyDescent="0.25">
      <c r="B290" s="1"/>
      <c r="R290" s="1"/>
    </row>
    <row r="291" spans="2:18" x14ac:dyDescent="0.25">
      <c r="B291" s="1"/>
      <c r="R291" s="1"/>
    </row>
    <row r="292" spans="2:18" x14ac:dyDescent="0.25">
      <c r="B292" s="1"/>
      <c r="R292" s="1"/>
    </row>
    <row r="293" spans="2:18" x14ac:dyDescent="0.25">
      <c r="B293" s="1"/>
      <c r="R293" s="1"/>
    </row>
    <row r="294" spans="2:18" x14ac:dyDescent="0.25">
      <c r="B294" s="1"/>
      <c r="R294" s="1"/>
    </row>
    <row r="295" spans="2:18" x14ac:dyDescent="0.25">
      <c r="B295" s="1"/>
      <c r="R295" s="1"/>
    </row>
    <row r="296" spans="2:18" x14ac:dyDescent="0.25">
      <c r="B296" s="1"/>
      <c r="R296" s="1"/>
    </row>
    <row r="297" spans="2:18" x14ac:dyDescent="0.25">
      <c r="B297" s="1"/>
      <c r="R297" s="1"/>
    </row>
    <row r="298" spans="2:18" x14ac:dyDescent="0.25">
      <c r="B298" s="1"/>
      <c r="R298" s="1"/>
    </row>
    <row r="299" spans="2:18" x14ac:dyDescent="0.25">
      <c r="B299" s="1"/>
      <c r="R299" s="1"/>
    </row>
    <row r="300" spans="2:18" x14ac:dyDescent="0.25">
      <c r="B300" s="1"/>
      <c r="R300" s="1"/>
    </row>
    <row r="301" spans="2:18" x14ac:dyDescent="0.25">
      <c r="B301" s="1"/>
      <c r="R301" s="1"/>
    </row>
    <row r="302" spans="2:18" x14ac:dyDescent="0.25">
      <c r="B302" s="1"/>
      <c r="R302" s="1"/>
    </row>
    <row r="303" spans="2:18" x14ac:dyDescent="0.25">
      <c r="B303" s="1"/>
      <c r="R303" s="1"/>
    </row>
    <row r="304" spans="2:18" x14ac:dyDescent="0.25">
      <c r="B304" s="1"/>
      <c r="R304" s="1"/>
    </row>
    <row r="305" spans="2:18" x14ac:dyDescent="0.25">
      <c r="B305" s="1"/>
      <c r="R305" s="1"/>
    </row>
    <row r="306" spans="2:18" x14ac:dyDescent="0.25">
      <c r="B306" s="1"/>
      <c r="R306" s="1"/>
    </row>
    <row r="307" spans="2:18" x14ac:dyDescent="0.25">
      <c r="B307" s="1"/>
      <c r="R307" s="1"/>
    </row>
    <row r="308" spans="2:18" x14ac:dyDescent="0.25">
      <c r="B308" s="1"/>
      <c r="R308" s="1"/>
    </row>
    <row r="309" spans="2:18" x14ac:dyDescent="0.25">
      <c r="B309" s="1"/>
      <c r="R309" s="1"/>
    </row>
    <row r="310" spans="2:18" x14ac:dyDescent="0.25">
      <c r="B310" s="1"/>
      <c r="R310" s="1"/>
    </row>
    <row r="311" spans="2:18" x14ac:dyDescent="0.25">
      <c r="B311" s="1"/>
      <c r="R311" s="1"/>
    </row>
    <row r="312" spans="2:18" x14ac:dyDescent="0.25">
      <c r="B312" s="1"/>
      <c r="R312" s="1"/>
    </row>
    <row r="313" spans="2:18" x14ac:dyDescent="0.25">
      <c r="B313" s="1"/>
      <c r="R313" s="1"/>
    </row>
    <row r="314" spans="2:18" x14ac:dyDescent="0.25">
      <c r="B314" s="1"/>
      <c r="R314" s="1"/>
    </row>
    <row r="315" spans="2:18" x14ac:dyDescent="0.25">
      <c r="B315" s="1"/>
      <c r="R315" s="1"/>
    </row>
    <row r="316" spans="2:18" x14ac:dyDescent="0.25">
      <c r="B316" s="1"/>
      <c r="R316" s="1"/>
    </row>
    <row r="317" spans="2:18" x14ac:dyDescent="0.25">
      <c r="B317" s="1"/>
      <c r="R317" s="1"/>
    </row>
    <row r="318" spans="2:18" x14ac:dyDescent="0.25">
      <c r="B318" s="1"/>
      <c r="R318" s="1"/>
    </row>
    <row r="319" spans="2:18" x14ac:dyDescent="0.25">
      <c r="B319" s="1"/>
      <c r="R319" s="1"/>
    </row>
    <row r="320" spans="2:18" x14ac:dyDescent="0.25">
      <c r="B320" s="1"/>
      <c r="R320" s="1"/>
    </row>
    <row r="321" spans="2:18" x14ac:dyDescent="0.25">
      <c r="B321" s="1"/>
      <c r="R321" s="1"/>
    </row>
    <row r="322" spans="2:18" x14ac:dyDescent="0.25">
      <c r="B322" s="1"/>
      <c r="R322" s="1"/>
    </row>
    <row r="323" spans="2:18" x14ac:dyDescent="0.25">
      <c r="B323" s="1"/>
      <c r="R323" s="1"/>
    </row>
    <row r="324" spans="2:18" x14ac:dyDescent="0.25">
      <c r="B324" s="1"/>
      <c r="R324" s="1"/>
    </row>
    <row r="325" spans="2:18" x14ac:dyDescent="0.25">
      <c r="B325" s="1"/>
      <c r="R325" s="1"/>
    </row>
    <row r="326" spans="2:18" x14ac:dyDescent="0.25">
      <c r="B326" s="1"/>
      <c r="R326" s="1"/>
    </row>
    <row r="327" spans="2:18" x14ac:dyDescent="0.25">
      <c r="B327" s="1"/>
      <c r="R327" s="1"/>
    </row>
    <row r="328" spans="2:18" x14ac:dyDescent="0.25">
      <c r="B328" s="1"/>
      <c r="R328" s="1"/>
    </row>
    <row r="329" spans="2:18" x14ac:dyDescent="0.25">
      <c r="B329" s="1"/>
      <c r="R329" s="1"/>
    </row>
    <row r="330" spans="2:18" x14ac:dyDescent="0.25">
      <c r="B330" s="1"/>
      <c r="R330" s="1"/>
    </row>
    <row r="331" spans="2:18" x14ac:dyDescent="0.25">
      <c r="B331" s="1"/>
      <c r="R331" s="1"/>
    </row>
    <row r="332" spans="2:18" x14ac:dyDescent="0.25">
      <c r="B332" s="1"/>
      <c r="R332" s="1"/>
    </row>
    <row r="333" spans="2:18" x14ac:dyDescent="0.25">
      <c r="B333" s="1"/>
      <c r="R333" s="1"/>
    </row>
    <row r="334" spans="2:18" x14ac:dyDescent="0.25">
      <c r="B334" s="1"/>
      <c r="R334" s="1"/>
    </row>
    <row r="335" spans="2:18" x14ac:dyDescent="0.25">
      <c r="B335" s="1"/>
      <c r="R335" s="1"/>
    </row>
    <row r="336" spans="2:18" x14ac:dyDescent="0.25">
      <c r="B336" s="1"/>
      <c r="R336" s="1"/>
    </row>
    <row r="337" spans="2:18" x14ac:dyDescent="0.25">
      <c r="B337" s="1"/>
      <c r="R337" s="1"/>
    </row>
    <row r="338" spans="2:18" x14ac:dyDescent="0.25">
      <c r="B338" s="1"/>
      <c r="R338" s="1"/>
    </row>
    <row r="339" spans="2:18" x14ac:dyDescent="0.25">
      <c r="B339" s="1"/>
      <c r="R339" s="1"/>
    </row>
    <row r="340" spans="2:18" x14ac:dyDescent="0.25">
      <c r="B340" s="1"/>
      <c r="R340" s="1"/>
    </row>
    <row r="341" spans="2:18" x14ac:dyDescent="0.25">
      <c r="B341" s="1"/>
      <c r="R341" s="1"/>
    </row>
    <row r="342" spans="2:18" x14ac:dyDescent="0.25">
      <c r="B342" s="1"/>
      <c r="R342" s="1"/>
    </row>
    <row r="343" spans="2:18" x14ac:dyDescent="0.25">
      <c r="B343" s="1"/>
      <c r="R343" s="1"/>
    </row>
    <row r="344" spans="2:18" x14ac:dyDescent="0.25">
      <c r="B344" s="1"/>
      <c r="R344" s="1"/>
    </row>
    <row r="345" spans="2:18" x14ac:dyDescent="0.25">
      <c r="B345" s="1"/>
      <c r="R345" s="1"/>
    </row>
    <row r="346" spans="2:18" x14ac:dyDescent="0.25">
      <c r="B346" s="1"/>
      <c r="R346" s="1"/>
    </row>
    <row r="347" spans="2:18" x14ac:dyDescent="0.25">
      <c r="B347" s="1"/>
      <c r="R347" s="1"/>
    </row>
    <row r="348" spans="2:18" x14ac:dyDescent="0.25">
      <c r="B348" s="1"/>
      <c r="R348" s="1"/>
    </row>
    <row r="349" spans="2:18" x14ac:dyDescent="0.25">
      <c r="B349" s="1"/>
      <c r="R349" s="1"/>
    </row>
    <row r="350" spans="2:18" x14ac:dyDescent="0.25">
      <c r="B350" s="1"/>
      <c r="R350" s="1"/>
    </row>
    <row r="351" spans="2:18" x14ac:dyDescent="0.25">
      <c r="B351" s="1"/>
      <c r="R351" s="1"/>
    </row>
    <row r="352" spans="2:18" x14ac:dyDescent="0.25">
      <c r="B352" s="1"/>
      <c r="R352" s="1"/>
    </row>
    <row r="353" spans="2:18" x14ac:dyDescent="0.25">
      <c r="B353" s="1"/>
      <c r="R353" s="1"/>
    </row>
    <row r="354" spans="2:18" x14ac:dyDescent="0.25">
      <c r="B354" s="1"/>
      <c r="R354" s="1"/>
    </row>
    <row r="355" spans="2:18" x14ac:dyDescent="0.25">
      <c r="B355" s="1"/>
      <c r="R355" s="1"/>
    </row>
    <row r="356" spans="2:18" x14ac:dyDescent="0.25">
      <c r="B356" s="1"/>
      <c r="R356" s="1"/>
    </row>
    <row r="357" spans="2:18" x14ac:dyDescent="0.25">
      <c r="B357" s="1"/>
      <c r="R357" s="1"/>
    </row>
    <row r="358" spans="2:18" x14ac:dyDescent="0.25">
      <c r="B358" s="1"/>
      <c r="R358" s="1"/>
    </row>
    <row r="359" spans="2:18" x14ac:dyDescent="0.25">
      <c r="B359" s="1"/>
      <c r="R359" s="1"/>
    </row>
    <row r="360" spans="2:18" x14ac:dyDescent="0.25">
      <c r="B360" s="1"/>
      <c r="R360" s="1"/>
    </row>
    <row r="361" spans="2:18" x14ac:dyDescent="0.25">
      <c r="B361" s="1"/>
      <c r="R361" s="1"/>
    </row>
    <row r="362" spans="2:18" x14ac:dyDescent="0.25">
      <c r="B362" s="1"/>
      <c r="R362" s="1"/>
    </row>
    <row r="363" spans="2:18" x14ac:dyDescent="0.25">
      <c r="B363" s="1"/>
      <c r="R363" s="1"/>
    </row>
    <row r="364" spans="2:18" x14ac:dyDescent="0.25">
      <c r="B364" s="1"/>
      <c r="R364" s="1"/>
    </row>
    <row r="365" spans="2:18" x14ac:dyDescent="0.25">
      <c r="B365" s="1"/>
      <c r="R365" s="1"/>
    </row>
    <row r="366" spans="2:18" x14ac:dyDescent="0.25">
      <c r="B366" s="1"/>
      <c r="R366" s="1"/>
    </row>
    <row r="367" spans="2:18" x14ac:dyDescent="0.25">
      <c r="B367" s="1"/>
      <c r="R367" s="1"/>
    </row>
    <row r="368" spans="2:18" x14ac:dyDescent="0.25">
      <c r="B368" s="1"/>
      <c r="R368" s="1"/>
    </row>
    <row r="369" spans="2:18" x14ac:dyDescent="0.25">
      <c r="B369" s="1"/>
      <c r="R369" s="1"/>
    </row>
    <row r="370" spans="2:18" x14ac:dyDescent="0.25">
      <c r="B370" s="1"/>
      <c r="R370" s="1"/>
    </row>
    <row r="371" spans="2:18" x14ac:dyDescent="0.25">
      <c r="B371" s="1"/>
      <c r="R371" s="1"/>
    </row>
    <row r="372" spans="2:18" x14ac:dyDescent="0.25">
      <c r="B372" s="1"/>
      <c r="R372" s="1"/>
    </row>
    <row r="373" spans="2:18" x14ac:dyDescent="0.25">
      <c r="B373" s="1"/>
      <c r="R373" s="1"/>
    </row>
    <row r="374" spans="2:18" x14ac:dyDescent="0.25">
      <c r="B374" s="1"/>
      <c r="R374" s="1"/>
    </row>
    <row r="375" spans="2:18" x14ac:dyDescent="0.25">
      <c r="B375" s="1"/>
      <c r="R375" s="1"/>
    </row>
    <row r="376" spans="2:18" x14ac:dyDescent="0.25">
      <c r="B376" s="1"/>
      <c r="R376" s="1"/>
    </row>
    <row r="377" spans="2:18" x14ac:dyDescent="0.25">
      <c r="B377" s="1"/>
      <c r="R377" s="1"/>
    </row>
    <row r="378" spans="2:18" x14ac:dyDescent="0.25">
      <c r="B378" s="1"/>
      <c r="R378" s="1"/>
    </row>
    <row r="379" spans="2:18" x14ac:dyDescent="0.25">
      <c r="B379" s="1"/>
      <c r="R379" s="1"/>
    </row>
    <row r="380" spans="2:18" x14ac:dyDescent="0.25">
      <c r="B380" s="1"/>
      <c r="R380" s="1"/>
    </row>
    <row r="381" spans="2:18" x14ac:dyDescent="0.25">
      <c r="B381" s="1"/>
      <c r="R381" s="1"/>
    </row>
    <row r="382" spans="2:18" x14ac:dyDescent="0.25">
      <c r="B382" s="1"/>
      <c r="R382" s="1"/>
    </row>
    <row r="383" spans="2:18" x14ac:dyDescent="0.25">
      <c r="B383" s="1"/>
      <c r="R383" s="1"/>
    </row>
    <row r="384" spans="2:18" x14ac:dyDescent="0.25">
      <c r="B384" s="1"/>
      <c r="R384" s="1"/>
    </row>
    <row r="385" spans="2:18" x14ac:dyDescent="0.25">
      <c r="B385" s="1"/>
      <c r="R385" s="1"/>
    </row>
    <row r="386" spans="2:18" x14ac:dyDescent="0.25">
      <c r="B386" s="1"/>
      <c r="R386" s="1"/>
    </row>
    <row r="387" spans="2:18" x14ac:dyDescent="0.25">
      <c r="B387" s="1"/>
      <c r="R387" s="1"/>
    </row>
    <row r="388" spans="2:18" x14ac:dyDescent="0.25">
      <c r="B388" s="1"/>
      <c r="R388" s="1"/>
    </row>
    <row r="389" spans="2:18" x14ac:dyDescent="0.25">
      <c r="B389" s="1"/>
      <c r="R389" s="1"/>
    </row>
    <row r="390" spans="2:18" x14ac:dyDescent="0.25">
      <c r="B390" s="1"/>
      <c r="R390" s="1"/>
    </row>
    <row r="391" spans="2:18" x14ac:dyDescent="0.25">
      <c r="B391" s="1"/>
      <c r="R391" s="1"/>
    </row>
    <row r="392" spans="2:18" x14ac:dyDescent="0.25">
      <c r="B392" s="1"/>
      <c r="R392" s="1"/>
    </row>
    <row r="393" spans="2:18" x14ac:dyDescent="0.25">
      <c r="B393" s="1"/>
      <c r="R393" s="1"/>
    </row>
    <row r="394" spans="2:18" x14ac:dyDescent="0.25">
      <c r="B394" s="1"/>
      <c r="R394" s="1"/>
    </row>
    <row r="395" spans="2:18" x14ac:dyDescent="0.25">
      <c r="B395" s="1"/>
      <c r="R395" s="1"/>
    </row>
    <row r="396" spans="2:18" x14ac:dyDescent="0.25">
      <c r="B396" s="1"/>
      <c r="R396" s="1"/>
    </row>
    <row r="397" spans="2:18" x14ac:dyDescent="0.25">
      <c r="B397" s="1"/>
      <c r="R397" s="1"/>
    </row>
    <row r="398" spans="2:18" x14ac:dyDescent="0.25">
      <c r="B398" s="1"/>
      <c r="R398" s="1"/>
    </row>
    <row r="399" spans="2:18" x14ac:dyDescent="0.25">
      <c r="B399" s="1"/>
      <c r="R399" s="1"/>
    </row>
    <row r="400" spans="2:18" x14ac:dyDescent="0.25">
      <c r="B400" s="1"/>
      <c r="R400" s="1"/>
    </row>
    <row r="401" spans="2:18" x14ac:dyDescent="0.25">
      <c r="B401" s="1"/>
      <c r="R401" s="1"/>
    </row>
    <row r="402" spans="2:18" x14ac:dyDescent="0.25">
      <c r="B402" s="1"/>
      <c r="R402" s="1"/>
    </row>
    <row r="403" spans="2:18" x14ac:dyDescent="0.25">
      <c r="B403" s="1"/>
      <c r="R403" s="1"/>
    </row>
    <row r="404" spans="2:18" x14ac:dyDescent="0.25">
      <c r="B404" s="1"/>
      <c r="R404" s="1"/>
    </row>
    <row r="405" spans="2:18" x14ac:dyDescent="0.25">
      <c r="B405" s="1"/>
      <c r="R405" s="1"/>
    </row>
    <row r="406" spans="2:18" x14ac:dyDescent="0.25">
      <c r="B406" s="1"/>
      <c r="R406" s="1"/>
    </row>
    <row r="407" spans="2:18" x14ac:dyDescent="0.25">
      <c r="B407" s="1"/>
      <c r="R407" s="1"/>
    </row>
    <row r="408" spans="2:18" x14ac:dyDescent="0.25">
      <c r="B408" s="1"/>
      <c r="R408" s="1"/>
    </row>
    <row r="409" spans="2:18" x14ac:dyDescent="0.25">
      <c r="B409" s="1"/>
      <c r="R409" s="1"/>
    </row>
    <row r="410" spans="2:18" x14ac:dyDescent="0.25">
      <c r="B410" s="1"/>
      <c r="R410" s="1"/>
    </row>
    <row r="411" spans="2:18" x14ac:dyDescent="0.25">
      <c r="B411" s="1"/>
      <c r="R411" s="1"/>
    </row>
    <row r="412" spans="2:18" x14ac:dyDescent="0.25">
      <c r="B412" s="1"/>
      <c r="R412" s="1"/>
    </row>
    <row r="413" spans="2:18" x14ac:dyDescent="0.25">
      <c r="B413" s="1"/>
      <c r="R413" s="1"/>
    </row>
    <row r="414" spans="2:18" x14ac:dyDescent="0.25">
      <c r="B414" s="1"/>
      <c r="R414" s="1"/>
    </row>
    <row r="415" spans="2:18" x14ac:dyDescent="0.25">
      <c r="B415" s="1"/>
      <c r="R415" s="1"/>
    </row>
    <row r="416" spans="2:18" x14ac:dyDescent="0.25">
      <c r="B416" s="1"/>
      <c r="R416" s="1"/>
    </row>
    <row r="417" spans="2:18" x14ac:dyDescent="0.25">
      <c r="B417" s="1"/>
      <c r="R417" s="1"/>
    </row>
    <row r="418" spans="2:18" x14ac:dyDescent="0.25">
      <c r="B418" s="1"/>
      <c r="R418" s="1"/>
    </row>
    <row r="419" spans="2:18" x14ac:dyDescent="0.25">
      <c r="B419" s="1"/>
      <c r="R419" s="1"/>
    </row>
    <row r="420" spans="2:18" x14ac:dyDescent="0.25">
      <c r="B420" s="1"/>
      <c r="R420" s="1"/>
    </row>
    <row r="421" spans="2:18" x14ac:dyDescent="0.25">
      <c r="B421" s="1"/>
      <c r="R421" s="1"/>
    </row>
    <row r="422" spans="2:18" x14ac:dyDescent="0.25">
      <c r="B422" s="1"/>
      <c r="R422" s="1"/>
    </row>
    <row r="423" spans="2:18" x14ac:dyDescent="0.25">
      <c r="B423" s="1"/>
      <c r="R423" s="1"/>
    </row>
    <row r="424" spans="2:18" x14ac:dyDescent="0.25">
      <c r="B424" s="1"/>
      <c r="R424" s="1"/>
    </row>
    <row r="425" spans="2:18" x14ac:dyDescent="0.25">
      <c r="B425" s="1"/>
      <c r="R425" s="1"/>
    </row>
    <row r="426" spans="2:18" x14ac:dyDescent="0.25">
      <c r="B426" s="1"/>
      <c r="R426" s="1"/>
    </row>
    <row r="427" spans="2:18" x14ac:dyDescent="0.25">
      <c r="B427" s="1"/>
      <c r="R427" s="1"/>
    </row>
    <row r="428" spans="2:18" x14ac:dyDescent="0.25">
      <c r="B428" s="1"/>
      <c r="R428" s="1"/>
    </row>
    <row r="429" spans="2:18" x14ac:dyDescent="0.25">
      <c r="B429" s="1"/>
      <c r="R429" s="1"/>
    </row>
    <row r="430" spans="2:18" x14ac:dyDescent="0.25">
      <c r="B430" s="1"/>
      <c r="R430" s="1"/>
    </row>
    <row r="431" spans="2:18" x14ac:dyDescent="0.25">
      <c r="B431" s="1"/>
      <c r="R431" s="1"/>
    </row>
    <row r="432" spans="2:18" x14ac:dyDescent="0.25">
      <c r="B432" s="1"/>
      <c r="R432" s="1"/>
    </row>
    <row r="433" spans="2:18" x14ac:dyDescent="0.25">
      <c r="B433" s="1"/>
      <c r="R433" s="1"/>
    </row>
    <row r="434" spans="2:18" x14ac:dyDescent="0.25">
      <c r="B434" s="1"/>
      <c r="R434" s="1"/>
    </row>
    <row r="435" spans="2:18" x14ac:dyDescent="0.25">
      <c r="B435" s="1"/>
      <c r="R435" s="1"/>
    </row>
    <row r="436" spans="2:18" x14ac:dyDescent="0.25">
      <c r="B436" s="1"/>
      <c r="R436" s="1"/>
    </row>
    <row r="437" spans="2:18" x14ac:dyDescent="0.25">
      <c r="B437" s="1"/>
      <c r="R437" s="1"/>
    </row>
    <row r="438" spans="2:18" x14ac:dyDescent="0.25">
      <c r="B438" s="1"/>
      <c r="R438" s="1"/>
    </row>
    <row r="439" spans="2:18" x14ac:dyDescent="0.25">
      <c r="B439" s="1"/>
      <c r="R439" s="1"/>
    </row>
    <row r="440" spans="2:18" x14ac:dyDescent="0.25">
      <c r="B440" s="1"/>
      <c r="R440" s="1"/>
    </row>
    <row r="441" spans="2:18" x14ac:dyDescent="0.25">
      <c r="B441" s="1"/>
      <c r="R441" s="1"/>
    </row>
    <row r="442" spans="2:18" x14ac:dyDescent="0.25">
      <c r="B442" s="1"/>
      <c r="R442" s="1"/>
    </row>
    <row r="443" spans="2:18" x14ac:dyDescent="0.25">
      <c r="B443" s="1"/>
      <c r="R443" s="1"/>
    </row>
    <row r="444" spans="2:18" x14ac:dyDescent="0.25">
      <c r="B444" s="1"/>
      <c r="R444" s="1"/>
    </row>
    <row r="445" spans="2:18" x14ac:dyDescent="0.25">
      <c r="B445" s="1"/>
      <c r="R445" s="1"/>
    </row>
    <row r="446" spans="2:18" x14ac:dyDescent="0.25">
      <c r="B446" s="1"/>
      <c r="R446" s="1"/>
    </row>
    <row r="447" spans="2:18" x14ac:dyDescent="0.25">
      <c r="B447" s="1"/>
      <c r="R447" s="1"/>
    </row>
    <row r="448" spans="2:18" x14ac:dyDescent="0.25">
      <c r="B448" s="1"/>
      <c r="R448" s="1"/>
    </row>
    <row r="449" spans="2:18" x14ac:dyDescent="0.25">
      <c r="B449" s="1"/>
      <c r="R449" s="1"/>
    </row>
    <row r="450" spans="2:18" x14ac:dyDescent="0.25">
      <c r="B450" s="1"/>
      <c r="R450" s="1"/>
    </row>
    <row r="451" spans="2:18" x14ac:dyDescent="0.25">
      <c r="B451" s="1"/>
      <c r="R451" s="1"/>
    </row>
    <row r="452" spans="2:18" x14ac:dyDescent="0.25">
      <c r="B452" s="1"/>
      <c r="R452" s="1"/>
    </row>
    <row r="453" spans="2:18" x14ac:dyDescent="0.25">
      <c r="B453" s="1"/>
      <c r="R453" s="1"/>
    </row>
    <row r="454" spans="2:18" x14ac:dyDescent="0.25">
      <c r="B454" s="1"/>
      <c r="R454" s="1"/>
    </row>
    <row r="455" spans="2:18" x14ac:dyDescent="0.25">
      <c r="B455" s="1"/>
      <c r="R455" s="1"/>
    </row>
    <row r="456" spans="2:18" x14ac:dyDescent="0.25">
      <c r="B456" s="1"/>
      <c r="R456" s="1"/>
    </row>
    <row r="457" spans="2:18" x14ac:dyDescent="0.25">
      <c r="B457" s="1"/>
      <c r="R457" s="1"/>
    </row>
    <row r="458" spans="2:18" x14ac:dyDescent="0.25">
      <c r="B458" s="1"/>
      <c r="R458" s="1"/>
    </row>
    <row r="459" spans="2:18" x14ac:dyDescent="0.25">
      <c r="B459" s="1"/>
      <c r="R459" s="1"/>
    </row>
    <row r="460" spans="2:18" x14ac:dyDescent="0.25">
      <c r="B460" s="1"/>
      <c r="R460" s="1"/>
    </row>
    <row r="461" spans="2:18" x14ac:dyDescent="0.25">
      <c r="B461" s="1"/>
      <c r="R461" s="1"/>
    </row>
    <row r="462" spans="2:18" x14ac:dyDescent="0.25">
      <c r="B462" s="1"/>
      <c r="R462" s="1"/>
    </row>
    <row r="463" spans="2:18" x14ac:dyDescent="0.25">
      <c r="B463" s="1"/>
      <c r="R463" s="1"/>
    </row>
    <row r="464" spans="2:18" x14ac:dyDescent="0.25">
      <c r="B464" s="1"/>
      <c r="R464" s="1"/>
    </row>
    <row r="465" spans="2:18" x14ac:dyDescent="0.25">
      <c r="B465" s="1"/>
      <c r="R465" s="1"/>
    </row>
    <row r="466" spans="2:18" x14ac:dyDescent="0.25">
      <c r="B466" s="1"/>
      <c r="R466" s="1"/>
    </row>
    <row r="467" spans="2:18" x14ac:dyDescent="0.25">
      <c r="B467" s="1"/>
      <c r="R467" s="1"/>
    </row>
    <row r="468" spans="2:18" x14ac:dyDescent="0.25">
      <c r="B468" s="1"/>
      <c r="R468" s="1"/>
    </row>
    <row r="469" spans="2:18" x14ac:dyDescent="0.25">
      <c r="B469" s="1"/>
      <c r="R469" s="1"/>
    </row>
    <row r="470" spans="2:18" x14ac:dyDescent="0.25">
      <c r="B470" s="1"/>
      <c r="R470" s="1"/>
    </row>
    <row r="471" spans="2:18" x14ac:dyDescent="0.25">
      <c r="B471" s="1"/>
      <c r="R471" s="1"/>
    </row>
    <row r="472" spans="2:18" x14ac:dyDescent="0.25">
      <c r="B472" s="1"/>
      <c r="R472" s="1"/>
    </row>
    <row r="473" spans="2:18" x14ac:dyDescent="0.25">
      <c r="B473" s="1"/>
      <c r="R473" s="1"/>
    </row>
    <row r="474" spans="2:18" x14ac:dyDescent="0.25">
      <c r="B474" s="1"/>
      <c r="R474" s="1"/>
    </row>
    <row r="475" spans="2:18" x14ac:dyDescent="0.25">
      <c r="B475" s="1"/>
      <c r="R475" s="1"/>
    </row>
    <row r="476" spans="2:18" x14ac:dyDescent="0.25">
      <c r="B476" s="1"/>
      <c r="R476" s="1"/>
    </row>
    <row r="477" spans="2:18" x14ac:dyDescent="0.25">
      <c r="B477" s="1"/>
      <c r="R477" s="1"/>
    </row>
    <row r="478" spans="2:18" x14ac:dyDescent="0.25">
      <c r="B478" s="1"/>
      <c r="R478" s="1"/>
    </row>
    <row r="479" spans="2:18" x14ac:dyDescent="0.25">
      <c r="B479" s="1"/>
      <c r="R479" s="1"/>
    </row>
    <row r="480" spans="2:18" x14ac:dyDescent="0.25">
      <c r="B480" s="1"/>
      <c r="R480" s="1"/>
    </row>
    <row r="481" spans="2:18" x14ac:dyDescent="0.25">
      <c r="B481" s="1"/>
      <c r="R481" s="1"/>
    </row>
    <row r="482" spans="2:18" x14ac:dyDescent="0.25">
      <c r="B482" s="1"/>
      <c r="R482" s="1"/>
    </row>
    <row r="483" spans="2:18" x14ac:dyDescent="0.25">
      <c r="B483" s="1"/>
      <c r="R483" s="1"/>
    </row>
    <row r="484" spans="2:18" x14ac:dyDescent="0.25">
      <c r="B484" s="1"/>
      <c r="R484" s="1"/>
    </row>
    <row r="485" spans="2:18" x14ac:dyDescent="0.25">
      <c r="B485" s="1"/>
      <c r="R485" s="1"/>
    </row>
    <row r="486" spans="2:18" x14ac:dyDescent="0.25">
      <c r="B486" s="1"/>
      <c r="R486" s="1"/>
    </row>
    <row r="487" spans="2:18" x14ac:dyDescent="0.25">
      <c r="B487" s="1"/>
      <c r="R487" s="1"/>
    </row>
    <row r="488" spans="2:18" x14ac:dyDescent="0.25">
      <c r="B488" s="1"/>
      <c r="R488" s="1"/>
    </row>
    <row r="489" spans="2:18" x14ac:dyDescent="0.25">
      <c r="B489" s="1"/>
      <c r="R489" s="1"/>
    </row>
    <row r="490" spans="2:18" x14ac:dyDescent="0.25">
      <c r="B490" s="1"/>
      <c r="R490" s="1"/>
    </row>
    <row r="491" spans="2:18" x14ac:dyDescent="0.25">
      <c r="B491" s="1"/>
      <c r="R491" s="1"/>
    </row>
    <row r="492" spans="2:18" x14ac:dyDescent="0.25">
      <c r="B492" s="1"/>
      <c r="R492" s="1"/>
    </row>
    <row r="493" spans="2:18" x14ac:dyDescent="0.25">
      <c r="B493" s="1"/>
      <c r="R493" s="1"/>
    </row>
    <row r="494" spans="2:18" x14ac:dyDescent="0.25">
      <c r="B494" s="1"/>
      <c r="R494" s="1"/>
    </row>
    <row r="495" spans="2:18" x14ac:dyDescent="0.25">
      <c r="B495" s="1"/>
      <c r="R495" s="1"/>
    </row>
    <row r="496" spans="2:18" x14ac:dyDescent="0.25">
      <c r="B496" s="1"/>
      <c r="R496" s="1"/>
    </row>
    <row r="497" spans="2:18" x14ac:dyDescent="0.25">
      <c r="B497" s="1"/>
      <c r="R497" s="1"/>
    </row>
    <row r="498" spans="2:18" x14ac:dyDescent="0.25">
      <c r="B498" s="1"/>
      <c r="R498" s="1"/>
    </row>
    <row r="499" spans="2:18" x14ac:dyDescent="0.25">
      <c r="B499" s="1"/>
      <c r="R499" s="1"/>
    </row>
    <row r="500" spans="2:18" x14ac:dyDescent="0.25">
      <c r="B500" s="1"/>
      <c r="R500" s="1"/>
    </row>
    <row r="501" spans="2:18" x14ac:dyDescent="0.25">
      <c r="B501" s="1"/>
      <c r="R501" s="1"/>
    </row>
    <row r="502" spans="2:18" x14ac:dyDescent="0.25">
      <c r="B502" s="1"/>
      <c r="R502" s="1"/>
    </row>
    <row r="503" spans="2:18" x14ac:dyDescent="0.25">
      <c r="B503" s="1"/>
      <c r="R503" s="1"/>
    </row>
    <row r="504" spans="2:18" x14ac:dyDescent="0.25">
      <c r="B504" s="1"/>
      <c r="R504" s="1"/>
    </row>
    <row r="505" spans="2:18" x14ac:dyDescent="0.25">
      <c r="B505" s="1"/>
      <c r="R505" s="1"/>
    </row>
    <row r="506" spans="2:18" x14ac:dyDescent="0.25">
      <c r="B506" s="1"/>
      <c r="R506" s="1"/>
    </row>
    <row r="507" spans="2:18" x14ac:dyDescent="0.25">
      <c r="B507" s="1"/>
      <c r="R507" s="1"/>
    </row>
    <row r="508" spans="2:18" x14ac:dyDescent="0.25">
      <c r="B508" s="1"/>
      <c r="R508" s="1"/>
    </row>
    <row r="509" spans="2:18" x14ac:dyDescent="0.25">
      <c r="B509" s="1"/>
      <c r="R509" s="1"/>
    </row>
    <row r="510" spans="2:18" x14ac:dyDescent="0.25">
      <c r="B510" s="1"/>
      <c r="R510" s="1"/>
    </row>
    <row r="511" spans="2:18" x14ac:dyDescent="0.25">
      <c r="B511" s="1"/>
      <c r="R511" s="1"/>
    </row>
    <row r="512" spans="2:18" x14ac:dyDescent="0.25">
      <c r="B512" s="1"/>
      <c r="R512" s="1"/>
    </row>
    <row r="513" spans="2:18" x14ac:dyDescent="0.25">
      <c r="B513" s="1"/>
      <c r="R513" s="1"/>
    </row>
    <row r="514" spans="2:18" x14ac:dyDescent="0.25">
      <c r="B514" s="1"/>
      <c r="R514" s="1"/>
    </row>
    <row r="515" spans="2:18" x14ac:dyDescent="0.25">
      <c r="B515" s="1"/>
      <c r="R515" s="1"/>
    </row>
    <row r="516" spans="2:18" x14ac:dyDescent="0.25">
      <c r="B516" s="1"/>
      <c r="R516" s="1"/>
    </row>
    <row r="517" spans="2:18" x14ac:dyDescent="0.25">
      <c r="B517" s="1"/>
      <c r="R517" s="1"/>
    </row>
    <row r="518" spans="2:18" x14ac:dyDescent="0.25">
      <c r="B518" s="1"/>
      <c r="R518" s="1"/>
    </row>
    <row r="519" spans="2:18" x14ac:dyDescent="0.25">
      <c r="B519" s="1"/>
      <c r="R519" s="1"/>
    </row>
    <row r="520" spans="2:18" x14ac:dyDescent="0.25">
      <c r="B520" s="1"/>
      <c r="R520" s="1"/>
    </row>
    <row r="521" spans="2:18" x14ac:dyDescent="0.25">
      <c r="B521" s="1"/>
      <c r="R521" s="1"/>
    </row>
    <row r="522" spans="2:18" x14ac:dyDescent="0.25">
      <c r="B522" s="1"/>
      <c r="R522" s="1"/>
    </row>
    <row r="523" spans="2:18" x14ac:dyDescent="0.25">
      <c r="B523" s="1"/>
      <c r="R523" s="1"/>
    </row>
    <row r="524" spans="2:18" x14ac:dyDescent="0.25">
      <c r="B524" s="1"/>
      <c r="R524" s="1"/>
    </row>
    <row r="525" spans="2:18" x14ac:dyDescent="0.25">
      <c r="B525" s="1"/>
      <c r="R525" s="1"/>
    </row>
    <row r="526" spans="2:18" x14ac:dyDescent="0.25">
      <c r="B526" s="1"/>
      <c r="R526" s="1"/>
    </row>
    <row r="527" spans="2:18" x14ac:dyDescent="0.25">
      <c r="B527" s="1"/>
      <c r="R527" s="1"/>
    </row>
    <row r="528" spans="2:18" x14ac:dyDescent="0.25">
      <c r="B528" s="1"/>
      <c r="R528" s="1"/>
    </row>
    <row r="529" spans="2:18" x14ac:dyDescent="0.25">
      <c r="B529" s="1"/>
      <c r="R529" s="1"/>
    </row>
    <row r="530" spans="2:18" x14ac:dyDescent="0.25">
      <c r="B530" s="1"/>
      <c r="R530" s="1"/>
    </row>
    <row r="531" spans="2:18" x14ac:dyDescent="0.25">
      <c r="B531" s="1"/>
      <c r="R531" s="1"/>
    </row>
    <row r="532" spans="2:18" x14ac:dyDescent="0.25">
      <c r="B532" s="1"/>
      <c r="R532" s="1"/>
    </row>
    <row r="533" spans="2:18" x14ac:dyDescent="0.25">
      <c r="B533" s="1"/>
      <c r="R533" s="1"/>
    </row>
    <row r="534" spans="2:18" x14ac:dyDescent="0.25">
      <c r="B534" s="1"/>
      <c r="R534" s="1"/>
    </row>
    <row r="535" spans="2:18" x14ac:dyDescent="0.25">
      <c r="B535" s="1"/>
      <c r="R535" s="1"/>
    </row>
    <row r="536" spans="2:18" x14ac:dyDescent="0.25">
      <c r="B536" s="1"/>
      <c r="R536" s="1"/>
    </row>
    <row r="537" spans="2:18" x14ac:dyDescent="0.25">
      <c r="B537" s="1"/>
      <c r="R537" s="1"/>
    </row>
    <row r="538" spans="2:18" x14ac:dyDescent="0.25">
      <c r="B538" s="1"/>
      <c r="R538" s="1"/>
    </row>
    <row r="539" spans="2:18" x14ac:dyDescent="0.25">
      <c r="B539" s="1"/>
      <c r="R539" s="1"/>
    </row>
    <row r="540" spans="2:18" x14ac:dyDescent="0.25">
      <c r="B540" s="1"/>
      <c r="R540" s="1"/>
    </row>
    <row r="541" spans="2:18" x14ac:dyDescent="0.25">
      <c r="B541" s="1"/>
      <c r="R541" s="1"/>
    </row>
    <row r="542" spans="2:18" x14ac:dyDescent="0.25">
      <c r="B542" s="1"/>
      <c r="R542" s="1"/>
    </row>
    <row r="543" spans="2:18" x14ac:dyDescent="0.25">
      <c r="B543" s="1"/>
      <c r="R543" s="1"/>
    </row>
    <row r="544" spans="2:18" x14ac:dyDescent="0.25">
      <c r="B544" s="1"/>
      <c r="R544" s="1"/>
    </row>
    <row r="545" spans="2:18" x14ac:dyDescent="0.25">
      <c r="B545" s="1"/>
      <c r="R545" s="1"/>
    </row>
    <row r="546" spans="2:18" x14ac:dyDescent="0.25">
      <c r="B546" s="1"/>
      <c r="R546" s="1"/>
    </row>
    <row r="547" spans="2:18" x14ac:dyDescent="0.25">
      <c r="B547" s="1"/>
      <c r="R547" s="1"/>
    </row>
    <row r="548" spans="2:18" x14ac:dyDescent="0.25">
      <c r="B548" s="1"/>
      <c r="R548" s="1"/>
    </row>
    <row r="549" spans="2:18" x14ac:dyDescent="0.25">
      <c r="B549" s="1"/>
      <c r="R549" s="1"/>
    </row>
    <row r="550" spans="2:18" x14ac:dyDescent="0.25">
      <c r="B550" s="1"/>
      <c r="R550" s="1"/>
    </row>
    <row r="551" spans="2:18" x14ac:dyDescent="0.25">
      <c r="B551" s="1"/>
      <c r="R551" s="1"/>
    </row>
    <row r="552" spans="2:18" x14ac:dyDescent="0.25">
      <c r="B552" s="1"/>
      <c r="R552" s="1"/>
    </row>
    <row r="553" spans="2:18" x14ac:dyDescent="0.25">
      <c r="B553" s="1"/>
      <c r="R553" s="1"/>
    </row>
    <row r="554" spans="2:18" x14ac:dyDescent="0.25">
      <c r="B554" s="1"/>
      <c r="R554" s="1"/>
    </row>
    <row r="555" spans="2:18" x14ac:dyDescent="0.25">
      <c r="B555" s="1"/>
      <c r="R555" s="1"/>
    </row>
    <row r="556" spans="2:18" x14ac:dyDescent="0.25">
      <c r="B556" s="1"/>
      <c r="R556" s="1"/>
    </row>
    <row r="557" spans="2:18" x14ac:dyDescent="0.25">
      <c r="B557" s="1"/>
      <c r="R557" s="1"/>
    </row>
    <row r="558" spans="2:18" x14ac:dyDescent="0.25">
      <c r="B558" s="1"/>
      <c r="R558" s="1"/>
    </row>
    <row r="559" spans="2:18" x14ac:dyDescent="0.25">
      <c r="B559" s="1"/>
      <c r="R559" s="1"/>
    </row>
    <row r="560" spans="2:18" x14ac:dyDescent="0.25">
      <c r="B560" s="1"/>
      <c r="R560" s="1"/>
    </row>
    <row r="561" spans="2:18" x14ac:dyDescent="0.25">
      <c r="B561" s="1"/>
      <c r="R561" s="1"/>
    </row>
    <row r="562" spans="2:18" x14ac:dyDescent="0.25">
      <c r="B562" s="1"/>
      <c r="R562" s="1"/>
    </row>
    <row r="563" spans="2:18" x14ac:dyDescent="0.25">
      <c r="B563" s="1"/>
      <c r="R563" s="1"/>
    </row>
    <row r="564" spans="2:18" x14ac:dyDescent="0.25">
      <c r="B564" s="1"/>
      <c r="R564" s="1"/>
    </row>
    <row r="565" spans="2:18" x14ac:dyDescent="0.25">
      <c r="B565" s="1"/>
      <c r="R565" s="1"/>
    </row>
    <row r="566" spans="2:18" x14ac:dyDescent="0.25">
      <c r="B566" s="1"/>
      <c r="R566" s="1"/>
    </row>
    <row r="567" spans="2:18" x14ac:dyDescent="0.25">
      <c r="B567" s="1"/>
      <c r="R567" s="1"/>
    </row>
    <row r="568" spans="2:18" x14ac:dyDescent="0.25">
      <c r="B568" s="1"/>
      <c r="R568" s="1"/>
    </row>
    <row r="569" spans="2:18" x14ac:dyDescent="0.25">
      <c r="B569" s="1"/>
      <c r="R569" s="1"/>
    </row>
    <row r="570" spans="2:18" x14ac:dyDescent="0.25">
      <c r="B570" s="1"/>
      <c r="R570" s="1"/>
    </row>
    <row r="571" spans="2:18" x14ac:dyDescent="0.25">
      <c r="B571" s="1"/>
      <c r="R571" s="1"/>
    </row>
    <row r="572" spans="2:18" x14ac:dyDescent="0.25">
      <c r="B572" s="1"/>
      <c r="R572" s="1"/>
    </row>
    <row r="573" spans="2:18" x14ac:dyDescent="0.25">
      <c r="B573" s="1"/>
      <c r="R573" s="1"/>
    </row>
    <row r="574" spans="2:18" x14ac:dyDescent="0.25">
      <c r="B574" s="1"/>
      <c r="R574" s="1"/>
    </row>
    <row r="575" spans="2:18" x14ac:dyDescent="0.25">
      <c r="B575" s="1"/>
      <c r="R575" s="1"/>
    </row>
    <row r="576" spans="2:18" x14ac:dyDescent="0.25">
      <c r="B576" s="1"/>
      <c r="R576" s="1"/>
    </row>
    <row r="577" spans="2:18" x14ac:dyDescent="0.25">
      <c r="B577" s="1"/>
      <c r="R577" s="1"/>
    </row>
    <row r="578" spans="2:18" x14ac:dyDescent="0.25">
      <c r="B578" s="1"/>
      <c r="R578" s="1"/>
    </row>
    <row r="579" spans="2:18" x14ac:dyDescent="0.25">
      <c r="B579" s="1"/>
      <c r="R579" s="1"/>
    </row>
    <row r="580" spans="2:18" x14ac:dyDescent="0.25">
      <c r="B580" s="1"/>
      <c r="R580" s="1"/>
    </row>
    <row r="581" spans="2:18" x14ac:dyDescent="0.25">
      <c r="B581" s="1"/>
      <c r="R581" s="1"/>
    </row>
    <row r="582" spans="2:18" x14ac:dyDescent="0.25">
      <c r="B582" s="1"/>
      <c r="R582" s="1"/>
    </row>
    <row r="583" spans="2:18" x14ac:dyDescent="0.25">
      <c r="B583" s="1"/>
      <c r="R583" s="1"/>
    </row>
    <row r="584" spans="2:18" x14ac:dyDescent="0.25">
      <c r="B584" s="1"/>
      <c r="R584" s="1"/>
    </row>
    <row r="585" spans="2:18" x14ac:dyDescent="0.25">
      <c r="B585" s="1"/>
      <c r="R585" s="1"/>
    </row>
    <row r="586" spans="2:18" x14ac:dyDescent="0.25">
      <c r="B586" s="1"/>
      <c r="R586" s="1"/>
    </row>
    <row r="587" spans="2:18" x14ac:dyDescent="0.25">
      <c r="B587" s="1"/>
      <c r="R587" s="1"/>
    </row>
    <row r="588" spans="2:18" x14ac:dyDescent="0.25">
      <c r="B588" s="1"/>
      <c r="R588" s="1"/>
    </row>
    <row r="589" spans="2:18" x14ac:dyDescent="0.25">
      <c r="B589" s="1"/>
      <c r="R589" s="1"/>
    </row>
    <row r="590" spans="2:18" x14ac:dyDescent="0.25">
      <c r="B590" s="1"/>
      <c r="R590" s="1"/>
    </row>
    <row r="591" spans="2:18" x14ac:dyDescent="0.25">
      <c r="B591" s="1"/>
      <c r="R591" s="1"/>
    </row>
    <row r="592" spans="2:18" x14ac:dyDescent="0.25">
      <c r="B592" s="1"/>
      <c r="R592" s="1"/>
    </row>
    <row r="593" spans="2:18" x14ac:dyDescent="0.25">
      <c r="B593" s="1"/>
      <c r="R593" s="1"/>
    </row>
    <row r="594" spans="2:18" x14ac:dyDescent="0.25">
      <c r="B594" s="1"/>
      <c r="R594" s="1"/>
    </row>
    <row r="595" spans="2:18" x14ac:dyDescent="0.25">
      <c r="B595" s="1"/>
      <c r="R595" s="1"/>
    </row>
    <row r="596" spans="2:18" x14ac:dyDescent="0.25">
      <c r="B596" s="1"/>
      <c r="R596" s="1"/>
    </row>
    <row r="597" spans="2:18" x14ac:dyDescent="0.25">
      <c r="B597" s="1"/>
      <c r="R597" s="1"/>
    </row>
    <row r="598" spans="2:18" x14ac:dyDescent="0.25">
      <c r="B598" s="1"/>
      <c r="R598" s="1"/>
    </row>
    <row r="599" spans="2:18" x14ac:dyDescent="0.25">
      <c r="B599" s="1"/>
      <c r="R599" s="1"/>
    </row>
    <row r="600" spans="2:18" x14ac:dyDescent="0.25">
      <c r="B600" s="1"/>
      <c r="R600" s="1"/>
    </row>
    <row r="601" spans="2:18" x14ac:dyDescent="0.25">
      <c r="B601" s="1"/>
      <c r="R601" s="1"/>
    </row>
    <row r="602" spans="2:18" x14ac:dyDescent="0.25">
      <c r="B602" s="1"/>
      <c r="R602" s="1"/>
    </row>
    <row r="603" spans="2:18" x14ac:dyDescent="0.25">
      <c r="B603" s="1"/>
      <c r="R603" s="1"/>
    </row>
    <row r="604" spans="2:18" x14ac:dyDescent="0.25">
      <c r="B604" s="1"/>
      <c r="R604" s="1"/>
    </row>
    <row r="605" spans="2:18" x14ac:dyDescent="0.25">
      <c r="B605" s="1"/>
      <c r="R605" s="1"/>
    </row>
    <row r="606" spans="2:18" x14ac:dyDescent="0.25">
      <c r="B606" s="1"/>
      <c r="R606" s="1"/>
    </row>
    <row r="607" spans="2:18" x14ac:dyDescent="0.25">
      <c r="B607" s="1"/>
      <c r="R607" s="1"/>
    </row>
    <row r="608" spans="2:18" x14ac:dyDescent="0.25">
      <c r="B608" s="1"/>
      <c r="R608" s="1"/>
    </row>
    <row r="609" spans="2:21" x14ac:dyDescent="0.25">
      <c r="B609" s="1"/>
      <c r="R609" s="1"/>
    </row>
    <row r="610" spans="2:21" x14ac:dyDescent="0.25">
      <c r="B610" s="1"/>
      <c r="R610" s="1"/>
    </row>
    <row r="611" spans="2:21" x14ac:dyDescent="0.25">
      <c r="B611" s="1"/>
      <c r="R611" s="1"/>
    </row>
    <row r="612" spans="2:21" x14ac:dyDescent="0.25">
      <c r="B612" s="1"/>
      <c r="R612" s="1"/>
    </row>
    <row r="613" spans="2:21" x14ac:dyDescent="0.25">
      <c r="B613" s="1"/>
      <c r="R613" s="1"/>
    </row>
    <row r="614" spans="2:21" x14ac:dyDescent="0.25">
      <c r="B614" s="1"/>
      <c r="R614" s="1"/>
    </row>
    <row r="615" spans="2:21" x14ac:dyDescent="0.25">
      <c r="B615" s="1"/>
      <c r="R615" s="1"/>
    </row>
    <row r="616" spans="2:21" x14ac:dyDescent="0.25">
      <c r="B616" s="1"/>
      <c r="R616" s="1"/>
    </row>
    <row r="617" spans="2:21" x14ac:dyDescent="0.25">
      <c r="B617" s="1"/>
      <c r="R617" s="1"/>
    </row>
    <row r="618" spans="2:21" x14ac:dyDescent="0.25">
      <c r="B618" s="1"/>
      <c r="R618" s="1"/>
    </row>
    <row r="619" spans="2:21" x14ac:dyDescent="0.25">
      <c r="B619" s="1"/>
      <c r="R619" s="1"/>
    </row>
    <row r="620" spans="2:21" x14ac:dyDescent="0.25">
      <c r="B620" s="1"/>
      <c r="R620" s="1"/>
    </row>
    <row r="621" spans="2:21" x14ac:dyDescent="0.25">
      <c r="B621" s="1"/>
      <c r="P621" s="1" t="s">
        <v>1</v>
      </c>
      <c r="Q621" t="s">
        <v>2</v>
      </c>
    </row>
    <row r="622" spans="2:21" x14ac:dyDescent="0.25">
      <c r="B622" s="1"/>
    </row>
    <row r="623" spans="2:21" x14ac:dyDescent="0.25">
      <c r="B623" s="1"/>
    </row>
    <row r="624" spans="2:21" x14ac:dyDescent="0.25">
      <c r="B624" s="1"/>
      <c r="R624" s="1"/>
      <c r="T624" s="2"/>
      <c r="U624" s="2"/>
    </row>
    <row r="625" spans="2:20" x14ac:dyDescent="0.25">
      <c r="B625" s="1"/>
      <c r="R625" s="1"/>
      <c r="T625" s="2"/>
    </row>
    <row r="626" spans="2:20" x14ac:dyDescent="0.25">
      <c r="B626" s="1"/>
      <c r="H626" t="e" cm="1">
        <f t="array" ref="H626">bdh(P4,Q4)</f>
        <v>#VALUE!</v>
      </c>
      <c r="R626" s="1"/>
      <c r="T626" s="2"/>
    </row>
    <row r="627" spans="2:20" x14ac:dyDescent="0.25">
      <c r="B627" s="1"/>
      <c r="R627" s="1"/>
      <c r="T627" s="2"/>
    </row>
    <row r="628" spans="2:20" x14ac:dyDescent="0.25">
      <c r="B628" s="1"/>
    </row>
    <row r="629" spans="2:20" x14ac:dyDescent="0.25">
      <c r="O629" s="1"/>
      <c r="R629" s="2"/>
    </row>
    <row r="630" spans="2:20" x14ac:dyDescent="0.25">
      <c r="O630" s="1"/>
      <c r="R630" s="1"/>
    </row>
    <row r="631" spans="2:20" x14ac:dyDescent="0.25">
      <c r="O631" s="1"/>
    </row>
    <row r="632" spans="2:20" x14ac:dyDescent="0.25">
      <c r="O632" s="1"/>
    </row>
    <row r="633" spans="2:20" x14ac:dyDescent="0.25">
      <c r="O633" s="1"/>
    </row>
    <row r="634" spans="2:20" x14ac:dyDescent="0.25">
      <c r="O634" s="1"/>
    </row>
    <row r="635" spans="2:20" x14ac:dyDescent="0.25">
      <c r="O635" s="1"/>
    </row>
    <row r="636" spans="2:20" x14ac:dyDescent="0.25">
      <c r="O636" s="1"/>
    </row>
    <row r="637" spans="2:20" x14ac:dyDescent="0.25">
      <c r="O637" s="1"/>
    </row>
    <row r="638" spans="2:20" x14ac:dyDescent="0.25">
      <c r="O638" s="1"/>
    </row>
    <row r="639" spans="2:20" x14ac:dyDescent="0.25">
      <c r="O639" s="1"/>
    </row>
    <row r="640" spans="2:20" x14ac:dyDescent="0.25">
      <c r="O640" s="1"/>
    </row>
  </sheetData>
  <autoFilter ref="A1:D125" xr:uid="{074E23F3-70F4-475C-971A-8867B6F941E6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2D9F3-7CF0-46A4-BE72-61EDD92EF2CC}">
  <dimension ref="A1:S630"/>
  <sheetViews>
    <sheetView workbookViewId="0">
      <selection sqref="A1:XFD1048576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7.42578125" bestFit="1" customWidth="1"/>
    <col min="4" max="4" width="13.7109375" bestFit="1" customWidth="1"/>
    <col min="16" max="16" width="23.5703125" bestFit="1" customWidth="1"/>
    <col min="17" max="17" width="22.5703125" bestFit="1" customWidth="1"/>
    <col min="18" max="18" width="10.28515625" bestFit="1" customWidth="1"/>
    <col min="19" max="19" width="10.42578125" bestFit="1" customWidth="1"/>
  </cols>
  <sheetData>
    <row r="1" spans="1:19" x14ac:dyDescent="0.25">
      <c r="A1" t="str" cm="1">
        <f t="array" aca="1" ref="A1:D160" ca="1">bdh(P4:P181,Q4:Q5,R4,R5,,P621:Q621,1)</f>
        <v>NM_TICKER</v>
      </c>
      <c r="B1" t="str">
        <f ca="1"/>
        <v>DATA</v>
      </c>
      <c r="C1" t="str">
        <f ca="1"/>
        <v>NM_FIELD</v>
      </c>
      <c r="D1" t="str">
        <f ca="1"/>
        <v>VL_FIELD</v>
      </c>
    </row>
    <row r="2" spans="1:19" x14ac:dyDescent="0.25">
      <c r="A2" t="str">
        <f ca="1"/>
        <v>CEEB3 BZ Equity</v>
      </c>
      <c r="B2" t="str">
        <f ca="1"/>
        <v>2024-10-28</v>
      </c>
      <c r="C2" t="str">
        <f ca="1"/>
        <v>TRAIL_12M_EBITDA</v>
      </c>
      <c r="D2" s="4" t="str">
        <f ca="1"/>
        <v>4741.000000</v>
      </c>
    </row>
    <row r="3" spans="1:19" x14ac:dyDescent="0.25">
      <c r="A3" t="str">
        <f ca="1"/>
        <v>SBSP3 BZ Equity</v>
      </c>
      <c r="B3" t="str">
        <f ca="1"/>
        <v>2024-10-28</v>
      </c>
      <c r="C3" t="str">
        <f ca="1"/>
        <v>TRAIL_12M_EBITDA</v>
      </c>
      <c r="D3" s="4" t="str">
        <f ca="1"/>
        <v>10754.365000</v>
      </c>
    </row>
    <row r="4" spans="1:19" x14ac:dyDescent="0.25">
      <c r="A4" t="str">
        <f ca="1"/>
        <v>DIRR3 BZ Equity</v>
      </c>
      <c r="B4" t="str">
        <f ca="1"/>
        <v>2024-10-28</v>
      </c>
      <c r="C4" t="str">
        <f ca="1"/>
        <v>TRAIL_12M_EBITDA</v>
      </c>
      <c r="D4" s="4" t="str">
        <f ca="1"/>
        <v>512.710000</v>
      </c>
      <c r="P4" t="s">
        <v>5</v>
      </c>
      <c r="Q4" t="s">
        <v>3</v>
      </c>
      <c r="R4" s="1">
        <f ca="1">S4</f>
        <v>45593</v>
      </c>
      <c r="S4" s="3">
        <f ca="1">TODAY()</f>
        <v>45593</v>
      </c>
    </row>
    <row r="5" spans="1:19" x14ac:dyDescent="0.25">
      <c r="A5" t="str">
        <f ca="1"/>
        <v>GGPS3 BZ Equity</v>
      </c>
      <c r="B5" t="str">
        <f ca="1"/>
        <v>2024-10-28</v>
      </c>
      <c r="C5" t="str">
        <f ca="1"/>
        <v>TRAIL_12M_EBITDA</v>
      </c>
      <c r="D5" s="4" t="str">
        <f ca="1"/>
        <v>1293.992000</v>
      </c>
      <c r="P5" t="s">
        <v>7</v>
      </c>
      <c r="R5" s="1">
        <f ca="1">S4</f>
        <v>45593</v>
      </c>
    </row>
    <row r="6" spans="1:19" x14ac:dyDescent="0.25">
      <c r="A6" t="str">
        <f ca="1"/>
        <v>MYPK3 BZ Equity</v>
      </c>
      <c r="B6" t="str">
        <f ca="1"/>
        <v>2024-10-28</v>
      </c>
      <c r="C6" t="str">
        <f ca="1"/>
        <v>TRAIL_12M_EBITDA</v>
      </c>
      <c r="D6" s="4" t="str">
        <f ca="1"/>
        <v>1297.886000</v>
      </c>
      <c r="P6" t="s">
        <v>8</v>
      </c>
      <c r="R6" s="1"/>
    </row>
    <row r="7" spans="1:19" x14ac:dyDescent="0.25">
      <c r="A7" t="str">
        <f ca="1"/>
        <v>VAMO3 BZ Equity</v>
      </c>
      <c r="B7" t="str">
        <f ca="1"/>
        <v>2024-10-28</v>
      </c>
      <c r="C7" t="str">
        <f ca="1"/>
        <v>TRAIL_12M_EBITDA</v>
      </c>
      <c r="D7" s="4" t="str">
        <f ca="1"/>
        <v>2941.355000</v>
      </c>
      <c r="P7" t="s">
        <v>10</v>
      </c>
      <c r="R7" s="1"/>
    </row>
    <row r="8" spans="1:19" x14ac:dyDescent="0.25">
      <c r="A8" t="str">
        <f ca="1"/>
        <v>MOVI3 BZ Equity</v>
      </c>
      <c r="B8" t="str">
        <f ca="1"/>
        <v>2024-10-28</v>
      </c>
      <c r="C8" t="str">
        <f ca="1"/>
        <v>TRAIL_12M_EBITDA</v>
      </c>
      <c r="D8" s="4" t="str">
        <f ca="1"/>
        <v>3942.718000</v>
      </c>
      <c r="P8" t="s">
        <v>11</v>
      </c>
      <c r="R8" s="1"/>
    </row>
    <row r="9" spans="1:19" x14ac:dyDescent="0.25">
      <c r="A9" t="str">
        <f ca="1"/>
        <v>VAMO3 BZ Equity</v>
      </c>
      <c r="B9" t="str">
        <f ca="1"/>
        <v>2024-10-28</v>
      </c>
      <c r="C9" t="str">
        <f ca="1"/>
        <v>TRAIL_12M_EBITDA</v>
      </c>
      <c r="D9" s="4" t="str">
        <f ca="1"/>
        <v>2941.355000</v>
      </c>
      <c r="P9" t="s">
        <v>4</v>
      </c>
      <c r="R9" s="1"/>
    </row>
    <row r="10" spans="1:19" x14ac:dyDescent="0.25">
      <c r="A10" t="str">
        <f ca="1"/>
        <v>MRFG3 BZ Equity</v>
      </c>
      <c r="B10" t="str">
        <f ca="1"/>
        <v>2024-10-28</v>
      </c>
      <c r="C10" t="str">
        <f ca="1"/>
        <v>TRAIL_12M_EBITDA</v>
      </c>
      <c r="D10" s="4" t="str">
        <f ca="1"/>
        <v>10803.053000</v>
      </c>
      <c r="P10" t="s">
        <v>12</v>
      </c>
      <c r="R10" s="1"/>
    </row>
    <row r="11" spans="1:19" x14ac:dyDescent="0.25">
      <c r="A11" t="str">
        <f ca="1"/>
        <v>QUAL3 BZ Equity</v>
      </c>
      <c r="B11" t="str">
        <f ca="1"/>
        <v>2024-10-28</v>
      </c>
      <c r="C11" t="str">
        <f ca="1"/>
        <v>TRAIL_12M_EBITDA</v>
      </c>
      <c r="D11" s="4" t="str">
        <f ca="1"/>
        <v>534.355000</v>
      </c>
      <c r="P11" t="s">
        <v>13</v>
      </c>
      <c r="R11" s="1"/>
    </row>
    <row r="12" spans="1:19" x14ac:dyDescent="0.25">
      <c r="A12" t="str">
        <f ca="1"/>
        <v>CRFB3 BZ Equity</v>
      </c>
      <c r="B12" t="str">
        <f ca="1"/>
        <v>2024-10-28</v>
      </c>
      <c r="C12" t="str">
        <f ca="1"/>
        <v>TRAIL_12M_EBITDA</v>
      </c>
      <c r="D12" s="4" t="str">
        <f ca="1"/>
        <v>5370.000000</v>
      </c>
      <c r="P12" t="s">
        <v>143</v>
      </c>
      <c r="R12" s="1"/>
    </row>
    <row r="13" spans="1:19" x14ac:dyDescent="0.25">
      <c r="A13" t="str">
        <f ca="1"/>
        <v>BHIA3 BZ Equity</v>
      </c>
      <c r="B13" t="str">
        <f ca="1"/>
        <v>2024-10-28</v>
      </c>
      <c r="C13" t="str">
        <f ca="1"/>
        <v>TRAIL_12M_EBITDA</v>
      </c>
      <c r="D13" s="4" t="str">
        <f ca="1"/>
        <v>-265.000000</v>
      </c>
      <c r="P13" t="s">
        <v>144</v>
      </c>
      <c r="R13" s="1"/>
    </row>
    <row r="14" spans="1:19" x14ac:dyDescent="0.25">
      <c r="A14" t="str">
        <f ca="1"/>
        <v>CCRO3 BZ Equity</v>
      </c>
      <c r="B14" t="str">
        <f ca="1"/>
        <v>2024-10-28</v>
      </c>
      <c r="C14" t="str">
        <f ca="1"/>
        <v>TRAIL_12M_EBITDA</v>
      </c>
      <c r="D14" s="4" t="str">
        <f ca="1"/>
        <v>7316.200000</v>
      </c>
      <c r="P14" t="s">
        <v>14</v>
      </c>
      <c r="R14" s="1"/>
    </row>
    <row r="15" spans="1:19" x14ac:dyDescent="0.25">
      <c r="A15" t="str">
        <f ca="1"/>
        <v>LREN3 BZ Equity</v>
      </c>
      <c r="B15" t="str">
        <f ca="1"/>
        <v>2024-10-28</v>
      </c>
      <c r="C15" t="str">
        <f ca="1"/>
        <v>TRAIL_12M_EBITDA</v>
      </c>
      <c r="D15" s="4" t="str">
        <f ca="1"/>
        <v>2309.788000</v>
      </c>
      <c r="P15" t="s">
        <v>15</v>
      </c>
      <c r="R15" s="1"/>
    </row>
    <row r="16" spans="1:19" x14ac:dyDescent="0.25">
      <c r="A16" t="str">
        <f ca="1"/>
        <v>VIVT3 BZ Equity</v>
      </c>
      <c r="B16" t="str">
        <f ca="1"/>
        <v>2024-10-28</v>
      </c>
      <c r="C16" t="str">
        <f ca="1"/>
        <v>TRAIL_12M_EBITDA</v>
      </c>
      <c r="D16" s="4" t="str">
        <f ca="1"/>
        <v>22022.635000</v>
      </c>
      <c r="P16" t="s">
        <v>16</v>
      </c>
      <c r="R16" s="1"/>
    </row>
    <row r="17" spans="1:18" x14ac:dyDescent="0.25">
      <c r="A17" t="str">
        <f ca="1"/>
        <v>TUPY3 BZ Equity</v>
      </c>
      <c r="B17" t="str">
        <f ca="1"/>
        <v>2024-10-28</v>
      </c>
      <c r="C17" t="str">
        <f ca="1"/>
        <v>TRAIL_12M_EBITDA</v>
      </c>
      <c r="D17" s="4" t="str">
        <f ca="1"/>
        <v>1240.787000</v>
      </c>
      <c r="P17" t="s">
        <v>6</v>
      </c>
      <c r="R17" s="1"/>
    </row>
    <row r="18" spans="1:18" x14ac:dyDescent="0.25">
      <c r="A18" t="str">
        <f ca="1"/>
        <v>PRIO3 BZ Equity</v>
      </c>
      <c r="B18" t="str">
        <f ca="1"/>
        <v>2024-10-28</v>
      </c>
      <c r="C18" t="str">
        <f ca="1"/>
        <v>TRAIL_12M_EBITDA</v>
      </c>
      <c r="D18" s="4" t="str">
        <f ca="1"/>
        <v>11233.453000</v>
      </c>
      <c r="P18" t="s">
        <v>17</v>
      </c>
      <c r="R18" s="1"/>
    </row>
    <row r="19" spans="1:18" x14ac:dyDescent="0.25">
      <c r="A19" t="str">
        <f ca="1"/>
        <v>CSNA3 BZ Equity</v>
      </c>
      <c r="B19" t="str">
        <f ca="1"/>
        <v>2024-10-28</v>
      </c>
      <c r="C19" t="str">
        <f ca="1"/>
        <v>TRAIL_12M_EBITDA</v>
      </c>
      <c r="D19" s="4" t="str">
        <f ca="1"/>
        <v>8845.851000</v>
      </c>
      <c r="P19" t="s">
        <v>18</v>
      </c>
      <c r="R19" s="1"/>
    </row>
    <row r="20" spans="1:18" x14ac:dyDescent="0.25">
      <c r="A20" t="str">
        <f ca="1"/>
        <v>KLBN11 BZ Equity</v>
      </c>
      <c r="B20" t="str">
        <f ca="1"/>
        <v>2024-10-28</v>
      </c>
      <c r="C20" t="str">
        <f ca="1"/>
        <v>TRAIL_12M_EBITDA</v>
      </c>
      <c r="D20" s="4" t="str">
        <f ca="1"/>
        <v>7847.684000</v>
      </c>
      <c r="P20" t="s">
        <v>19</v>
      </c>
      <c r="R20" s="1"/>
    </row>
    <row r="21" spans="1:18" x14ac:dyDescent="0.25">
      <c r="A21" t="str">
        <f ca="1"/>
        <v>CIEL3 BZ Equity</v>
      </c>
      <c r="B21" t="str">
        <f ca="1"/>
        <v>2024-10-28</v>
      </c>
      <c r="C21" t="str">
        <f ca="1"/>
        <v>TRAIL_12M_EBITDA</v>
      </c>
      <c r="D21" s="4" t="str">
        <f ca="1"/>
        <v>3472.427000</v>
      </c>
      <c r="P21" t="s">
        <v>20</v>
      </c>
      <c r="R21" s="1"/>
    </row>
    <row r="22" spans="1:18" x14ac:dyDescent="0.25">
      <c r="A22" t="str">
        <f ca="1"/>
        <v>ASAI3 BZ Equity</v>
      </c>
      <c r="B22" t="str">
        <f ca="1"/>
        <v>2024-10-28</v>
      </c>
      <c r="C22" t="str">
        <f ca="1"/>
        <v>TRAIL_12M_EBITDA</v>
      </c>
      <c r="D22" s="4" t="str">
        <f ca="1"/>
        <v>5149.000000</v>
      </c>
      <c r="P22" t="s">
        <v>21</v>
      </c>
      <c r="R22" s="1"/>
    </row>
    <row r="23" spans="1:18" x14ac:dyDescent="0.25">
      <c r="A23" t="str">
        <f ca="1"/>
        <v>ALOS3 BZ Equity</v>
      </c>
      <c r="B23" t="str">
        <f ca="1"/>
        <v>2024-10-28</v>
      </c>
      <c r="C23" t="str">
        <f ca="1"/>
        <v>TRAIL_12M_EBITDA</v>
      </c>
      <c r="D23" s="4" t="str">
        <f ca="1"/>
        <v>1643.051000</v>
      </c>
      <c r="P23" t="s">
        <v>137</v>
      </c>
      <c r="R23" s="1"/>
    </row>
    <row r="24" spans="1:18" x14ac:dyDescent="0.25">
      <c r="A24" t="str">
        <f ca="1"/>
        <v>BRKM3 BZ Equity</v>
      </c>
      <c r="B24" t="str">
        <f ca="1"/>
        <v>2024-10-28</v>
      </c>
      <c r="C24" t="str">
        <f ca="1"/>
        <v>TRAIL_12M_EBITDA</v>
      </c>
      <c r="D24" s="4" t="str">
        <f ca="1"/>
        <v>3499.702000</v>
      </c>
      <c r="P24" t="s">
        <v>22</v>
      </c>
      <c r="R24" s="1"/>
    </row>
    <row r="25" spans="1:18" x14ac:dyDescent="0.25">
      <c r="A25" t="str">
        <f ca="1"/>
        <v>MDNE3 BZ Equity</v>
      </c>
      <c r="B25" t="str">
        <f ca="1"/>
        <v>2024-10-28</v>
      </c>
      <c r="C25" t="str">
        <f ca="1"/>
        <v>TRAIL_12M_EBITDA</v>
      </c>
      <c r="D25" s="4" t="str">
        <f ca="1"/>
        <v>215.431000</v>
      </c>
      <c r="P25" t="s">
        <v>23</v>
      </c>
      <c r="R25" s="1"/>
    </row>
    <row r="26" spans="1:18" x14ac:dyDescent="0.25">
      <c r="A26" t="str">
        <f ca="1"/>
        <v>LOGG3 BZ Equity</v>
      </c>
      <c r="B26" t="str">
        <f ca="1"/>
        <v>2024-10-28</v>
      </c>
      <c r="C26" t="str">
        <f ca="1"/>
        <v>TRAIL_12M_EBITDA</v>
      </c>
      <c r="D26" s="4" t="str">
        <f ca="1"/>
        <v>348.108000</v>
      </c>
      <c r="P26" t="s">
        <v>24</v>
      </c>
      <c r="R26" s="1"/>
    </row>
    <row r="27" spans="1:18" x14ac:dyDescent="0.25">
      <c r="A27" t="str">
        <f ca="1"/>
        <v>COCE5 BZ Equity</v>
      </c>
      <c r="B27" t="str">
        <f ca="1"/>
        <v>2024-10-28</v>
      </c>
      <c r="C27" t="str">
        <f ca="1"/>
        <v>TRAIL_12M_EBITDA</v>
      </c>
      <c r="D27" s="4" t="str">
        <f ca="1"/>
        <v>1889.594000</v>
      </c>
      <c r="P27" t="s">
        <v>25</v>
      </c>
      <c r="R27" s="1"/>
    </row>
    <row r="28" spans="1:18" x14ac:dyDescent="0.25">
      <c r="A28" t="str">
        <f ca="1"/>
        <v>ORVR3 BZ Equity</v>
      </c>
      <c r="B28" t="str">
        <f ca="1"/>
        <v>2024-10-28</v>
      </c>
      <c r="C28" t="str">
        <f ca="1"/>
        <v>TRAIL_12M_EBITDA</v>
      </c>
      <c r="D28" s="4" t="str">
        <f ca="1"/>
        <v>394.376000</v>
      </c>
      <c r="P28" t="s">
        <v>26</v>
      </c>
      <c r="R28" s="1"/>
    </row>
    <row r="29" spans="1:18" x14ac:dyDescent="0.25">
      <c r="A29" t="str">
        <f ca="1"/>
        <v>WIZC3 BZ Equity</v>
      </c>
      <c r="B29" t="str">
        <f ca="1"/>
        <v>2024-10-28</v>
      </c>
      <c r="C29" t="str">
        <f ca="1"/>
        <v>TRAIL_12M_EBITDA</v>
      </c>
      <c r="D29" s="4" t="str">
        <f ca="1"/>
        <v>636.667000</v>
      </c>
      <c r="P29" t="s">
        <v>27</v>
      </c>
      <c r="R29" s="1"/>
    </row>
    <row r="30" spans="1:18" x14ac:dyDescent="0.25">
      <c r="A30" t="str">
        <f ca="1"/>
        <v>TRPL4 BZ Equity</v>
      </c>
      <c r="B30" t="str">
        <f ca="1"/>
        <v>2024-10-28</v>
      </c>
      <c r="C30" t="str">
        <f ca="1"/>
        <v>TRAIL_12M_EBITDA</v>
      </c>
      <c r="D30" s="4" t="str">
        <f ca="1"/>
        <v>3361.359000</v>
      </c>
      <c r="P30" t="s">
        <v>28</v>
      </c>
      <c r="R30" s="1"/>
    </row>
    <row r="31" spans="1:18" x14ac:dyDescent="0.25">
      <c r="A31" t="str">
        <f ca="1"/>
        <v>MGLU3 BZ Equity</v>
      </c>
      <c r="B31" t="str">
        <f ca="1"/>
        <v>2024-10-28</v>
      </c>
      <c r="C31" t="str">
        <f ca="1"/>
        <v>TRAIL_12M_EBITDA</v>
      </c>
      <c r="D31" s="4" t="str">
        <f ca="1"/>
        <v>1404.707000</v>
      </c>
      <c r="P31" t="s">
        <v>29</v>
      </c>
      <c r="R31" s="1"/>
    </row>
    <row r="32" spans="1:18" x14ac:dyDescent="0.25">
      <c r="A32" t="str">
        <f ca="1"/>
        <v>PGMN3 BZ Equity</v>
      </c>
      <c r="B32" t="str">
        <f ca="1"/>
        <v>2024-10-28</v>
      </c>
      <c r="C32" t="str">
        <f ca="1"/>
        <v>TRAIL_12M_EBITDA</v>
      </c>
      <c r="D32" s="4" t="str">
        <f ca="1"/>
        <v>938.053000</v>
      </c>
      <c r="P32" t="s">
        <v>30</v>
      </c>
      <c r="R32" s="1"/>
    </row>
    <row r="33" spans="1:18" x14ac:dyDescent="0.25">
      <c r="A33" t="str">
        <f ca="1"/>
        <v>CMIN3 BZ Equity</v>
      </c>
      <c r="B33" t="str">
        <f ca="1"/>
        <v>2024-10-28</v>
      </c>
      <c r="C33" t="str">
        <f ca="1"/>
        <v>TRAIL_12M_EBITDA</v>
      </c>
      <c r="D33" s="4" t="str">
        <f ca="1"/>
        <v>7306.308000</v>
      </c>
      <c r="P33" t="s">
        <v>31</v>
      </c>
      <c r="R33" s="1"/>
    </row>
    <row r="34" spans="1:18" x14ac:dyDescent="0.25">
      <c r="A34" t="str">
        <f ca="1"/>
        <v>PLPL3 BZ Equity</v>
      </c>
      <c r="B34" t="str">
        <f ca="1"/>
        <v>2024-10-28</v>
      </c>
      <c r="C34" t="str">
        <f ca="1"/>
        <v>TRAIL_12M_EBITDA</v>
      </c>
      <c r="D34" s="4" t="str">
        <f ca="1"/>
        <v>386.333000</v>
      </c>
      <c r="P34" t="s">
        <v>32</v>
      </c>
      <c r="R34" s="1"/>
    </row>
    <row r="35" spans="1:18" x14ac:dyDescent="0.25">
      <c r="A35" t="str">
        <f ca="1"/>
        <v>STBP3 BZ Equity</v>
      </c>
      <c r="B35" t="str">
        <f ca="1"/>
        <v>2024-10-28</v>
      </c>
      <c r="C35" t="str">
        <f ca="1"/>
        <v>TRAIL_12M_EBITDA</v>
      </c>
      <c r="D35" s="4" t="str">
        <f ca="1"/>
        <v>1283.531000</v>
      </c>
      <c r="P35" t="s">
        <v>33</v>
      </c>
      <c r="R35" s="1"/>
    </row>
    <row r="36" spans="1:18" x14ac:dyDescent="0.25">
      <c r="A36" t="str">
        <f ca="1"/>
        <v>BPAC11 BZ Equity</v>
      </c>
      <c r="B36" t="str">
        <f ca="1"/>
        <v>2024-10-28</v>
      </c>
      <c r="C36" t="str">
        <f ca="1"/>
        <v>TRAIL_12M_EBITDA</v>
      </c>
      <c r="D36" s="4" t="str">
        <f ca="1"/>
        <v>61726.441000</v>
      </c>
      <c r="P36" t="s">
        <v>145</v>
      </c>
      <c r="R36" s="1"/>
    </row>
    <row r="37" spans="1:18" x14ac:dyDescent="0.25">
      <c r="A37" t="str">
        <f ca="1"/>
        <v>LIGT3 BZ Equity</v>
      </c>
      <c r="B37" t="str">
        <f ca="1"/>
        <v>2024-10-28</v>
      </c>
      <c r="C37" t="str">
        <f ca="1"/>
        <v>TRAIL_12M_EBITDA</v>
      </c>
      <c r="D37" s="4" t="str">
        <f ca="1"/>
        <v>2127.637000</v>
      </c>
      <c r="P37" t="s">
        <v>34</v>
      </c>
      <c r="R37" s="1"/>
    </row>
    <row r="38" spans="1:18" x14ac:dyDescent="0.25">
      <c r="A38" t="str">
        <f ca="1"/>
        <v>CASH3 BZ Equity</v>
      </c>
      <c r="B38" t="str">
        <f ca="1"/>
        <v>2024-10-28</v>
      </c>
      <c r="C38" t="str">
        <f ca="1"/>
        <v>TRAIL_12M_EBITDA</v>
      </c>
      <c r="D38" s="4" t="str">
        <f ca="1"/>
        <v>-91.607000</v>
      </c>
      <c r="P38" t="s">
        <v>35</v>
      </c>
      <c r="R38" s="1"/>
    </row>
    <row r="39" spans="1:18" x14ac:dyDescent="0.25">
      <c r="A39" t="str">
        <f ca="1"/>
        <v>TFCO4 BZ Equity</v>
      </c>
      <c r="B39" t="str">
        <f ca="1"/>
        <v>2024-10-28</v>
      </c>
      <c r="C39" t="str">
        <f ca="1"/>
        <v>TRAIL_12M_EBITDA</v>
      </c>
      <c r="D39" s="4" t="str">
        <f ca="1"/>
        <v>182.916000</v>
      </c>
      <c r="P39" t="s">
        <v>36</v>
      </c>
      <c r="R39" s="1"/>
    </row>
    <row r="40" spans="1:18" x14ac:dyDescent="0.25">
      <c r="A40" t="str">
        <f ca="1"/>
        <v>AERI3 BZ Equity</v>
      </c>
      <c r="B40" t="str">
        <f ca="1"/>
        <v>2024-10-28</v>
      </c>
      <c r="C40" t="str">
        <f ca="1"/>
        <v>TRAIL_12M_EBITDA</v>
      </c>
      <c r="D40" s="4" t="str">
        <f ca="1"/>
        <v>253.847000</v>
      </c>
      <c r="P40" t="s">
        <v>146</v>
      </c>
      <c r="R40" s="1"/>
    </row>
    <row r="41" spans="1:18" x14ac:dyDescent="0.25">
      <c r="A41" t="str">
        <f ca="1"/>
        <v>IFCM3 BZ Equity</v>
      </c>
      <c r="B41" t="str">
        <f ca="1"/>
        <v>2024-10-28</v>
      </c>
      <c r="C41" t="str">
        <f ca="1"/>
        <v>TRAIL_12M_EBITDA</v>
      </c>
      <c r="D41" s="4" t="str">
        <f ca="1"/>
        <v>-1371.778000</v>
      </c>
      <c r="P41" t="s">
        <v>37</v>
      </c>
      <c r="R41" s="1"/>
    </row>
    <row r="42" spans="1:18" x14ac:dyDescent="0.25">
      <c r="A42" t="str">
        <f ca="1"/>
        <v>JBSS3 BZ Equity</v>
      </c>
      <c r="B42" t="str">
        <f ca="1"/>
        <v>2024-10-28</v>
      </c>
      <c r="C42" t="str">
        <f ca="1"/>
        <v>TRAIL_12M_EBITDA</v>
      </c>
      <c r="D42" s="4" t="str">
        <f ca="1"/>
        <v>24906.346000</v>
      </c>
      <c r="P42" t="s">
        <v>147</v>
      </c>
      <c r="R42" s="1"/>
    </row>
    <row r="43" spans="1:18" x14ac:dyDescent="0.25">
      <c r="A43" t="str">
        <f ca="1"/>
        <v>VALE3 BZ Equity</v>
      </c>
      <c r="B43" t="str">
        <f ca="1"/>
        <v>2024-10-28</v>
      </c>
      <c r="C43" t="str">
        <f ca="1"/>
        <v>TRAIL_12M_EBITDA</v>
      </c>
      <c r="D43" s="4" t="str">
        <f ca="1"/>
        <v>93992.000000</v>
      </c>
      <c r="P43" t="s">
        <v>148</v>
      </c>
      <c r="R43" s="1"/>
    </row>
    <row r="44" spans="1:18" x14ac:dyDescent="0.25">
      <c r="A44" t="str">
        <f ca="1"/>
        <v>SUZB3 BZ Equity</v>
      </c>
      <c r="B44" t="str">
        <f ca="1"/>
        <v>2024-10-28</v>
      </c>
      <c r="C44" t="str">
        <f ca="1"/>
        <v>TRAIL_12M_EBITDA</v>
      </c>
      <c r="D44" s="4" t="str">
        <f ca="1"/>
        <v>23750.638000</v>
      </c>
      <c r="P44" t="s">
        <v>38</v>
      </c>
      <c r="R44" s="1"/>
    </row>
    <row r="45" spans="1:18" x14ac:dyDescent="0.25">
      <c r="A45" t="str">
        <f ca="1"/>
        <v>GFSA3 BZ Equity</v>
      </c>
      <c r="B45" t="str">
        <f ca="1"/>
        <v>2024-10-28</v>
      </c>
      <c r="C45" t="str">
        <f ca="1"/>
        <v>TRAIL_12M_EBITDA</v>
      </c>
      <c r="D45" s="4" t="str">
        <f ca="1"/>
        <v>56.219000</v>
      </c>
      <c r="P45" t="s">
        <v>39</v>
      </c>
      <c r="R45" s="1"/>
    </row>
    <row r="46" spans="1:18" x14ac:dyDescent="0.25">
      <c r="A46" t="str">
        <f ca="1"/>
        <v>ABEV3 BZ Equity</v>
      </c>
      <c r="B46" t="str">
        <f ca="1"/>
        <v>2024-10-28</v>
      </c>
      <c r="C46" t="str">
        <f ca="1"/>
        <v>TRAIL_12M_EBITDA</v>
      </c>
      <c r="D46" s="4" t="str">
        <f ca="1"/>
        <v>26116.842000</v>
      </c>
      <c r="P46" t="s">
        <v>40</v>
      </c>
      <c r="R46" s="1"/>
    </row>
    <row r="47" spans="1:18" x14ac:dyDescent="0.25">
      <c r="A47" t="str">
        <f ca="1"/>
        <v>MEAL3 BZ Equity</v>
      </c>
      <c r="B47" t="str">
        <f ca="1"/>
        <v>2024-10-28</v>
      </c>
      <c r="C47" t="str">
        <f ca="1"/>
        <v>TRAIL_12M_EBITDA</v>
      </c>
      <c r="D47" s="4" t="str">
        <f ca="1"/>
        <v>339.399000</v>
      </c>
      <c r="P47" t="s">
        <v>41</v>
      </c>
      <c r="R47" s="1"/>
    </row>
    <row r="48" spans="1:18" x14ac:dyDescent="0.25">
      <c r="A48" t="str">
        <f ca="1"/>
        <v>JSLG3 BZ Equity</v>
      </c>
      <c r="B48" t="str">
        <f ca="1"/>
        <v>2024-10-28</v>
      </c>
      <c r="C48" t="str">
        <f ca="1"/>
        <v>TRAIL_12M_EBITDA</v>
      </c>
      <c r="D48" s="4" t="str">
        <f ca="1"/>
        <v>1820.986000</v>
      </c>
      <c r="P48" t="s">
        <v>42</v>
      </c>
      <c r="R48" s="1"/>
    </row>
    <row r="49" spans="1:18" x14ac:dyDescent="0.25">
      <c r="A49" t="str">
        <f ca="1"/>
        <v>CBAV3 BZ Equity</v>
      </c>
      <c r="B49" t="str">
        <f ca="1"/>
        <v>2024-10-28</v>
      </c>
      <c r="C49" t="str">
        <f ca="1"/>
        <v>TRAIL_12M_EBITDA</v>
      </c>
      <c r="D49" s="4" t="str">
        <f ca="1"/>
        <v>67.128000</v>
      </c>
      <c r="P49" t="s">
        <v>149</v>
      </c>
      <c r="R49" s="1"/>
    </row>
    <row r="50" spans="1:18" x14ac:dyDescent="0.25">
      <c r="A50" t="str">
        <f ca="1"/>
        <v>LJQQ3 BZ Equity</v>
      </c>
      <c r="B50" t="str">
        <f ca="1"/>
        <v>2024-10-28</v>
      </c>
      <c r="C50" t="str">
        <f ca="1"/>
        <v>TRAIL_12M_EBITDA</v>
      </c>
      <c r="D50" s="4" t="str">
        <f ca="1"/>
        <v>261.621000</v>
      </c>
      <c r="P50" t="s">
        <v>138</v>
      </c>
      <c r="R50" s="1"/>
    </row>
    <row r="51" spans="1:18" x14ac:dyDescent="0.25">
      <c r="A51" t="str">
        <f ca="1"/>
        <v>MOVI3 BZ Equity</v>
      </c>
      <c r="B51" t="str">
        <f ca="1"/>
        <v>2024-10-28</v>
      </c>
      <c r="C51" t="str">
        <f ca="1"/>
        <v>TRAIL_12M_EBITDA</v>
      </c>
      <c r="D51" s="4" t="str">
        <f ca="1"/>
        <v>3942.718000</v>
      </c>
      <c r="P51" t="s">
        <v>43</v>
      </c>
      <c r="R51" s="1"/>
    </row>
    <row r="52" spans="1:18" x14ac:dyDescent="0.25">
      <c r="A52" t="str">
        <f ca="1"/>
        <v>DXCO3 BZ Equity</v>
      </c>
      <c r="B52" t="str">
        <f ca="1"/>
        <v>2024-10-28</v>
      </c>
      <c r="C52" t="str">
        <f ca="1"/>
        <v>TRAIL_12M_EBITDA</v>
      </c>
      <c r="D52" s="4" t="str">
        <f ca="1"/>
        <v>1788.302000</v>
      </c>
      <c r="P52" t="s">
        <v>44</v>
      </c>
      <c r="R52" s="1"/>
    </row>
    <row r="53" spans="1:18" x14ac:dyDescent="0.25">
      <c r="A53" t="str">
        <f ca="1"/>
        <v>SIMH3 BZ Equity</v>
      </c>
      <c r="B53" t="str">
        <f ca="1"/>
        <v>2024-10-28</v>
      </c>
      <c r="C53" t="str">
        <f ca="1"/>
        <v>TRAIL_12M_EBITDA</v>
      </c>
      <c r="D53" s="4" t="str">
        <f ca="1"/>
        <v>8892.633000</v>
      </c>
      <c r="P53" t="s">
        <v>45</v>
      </c>
      <c r="R53" s="1"/>
    </row>
    <row r="54" spans="1:18" x14ac:dyDescent="0.25">
      <c r="A54" t="str">
        <f ca="1"/>
        <v>DASA3 BZ Equity</v>
      </c>
      <c r="B54" t="str">
        <f ca="1"/>
        <v>2024-10-28</v>
      </c>
      <c r="C54" t="str">
        <f ca="1"/>
        <v>TRAIL_12M_EBITDA</v>
      </c>
      <c r="D54" s="4" t="str">
        <f ca="1"/>
        <v>2374.713000</v>
      </c>
      <c r="P54" t="s">
        <v>46</v>
      </c>
      <c r="R54" s="1"/>
    </row>
    <row r="55" spans="1:18" x14ac:dyDescent="0.25">
      <c r="A55" t="str">
        <f ca="1"/>
        <v>TIMS3 BZ Equity</v>
      </c>
      <c r="B55" t="str">
        <f ca="1"/>
        <v>2024-10-28</v>
      </c>
      <c r="C55" t="str">
        <f ca="1"/>
        <v>TRAIL_12M_EBITDA</v>
      </c>
      <c r="D55" s="4" t="str">
        <f ca="1"/>
        <v>12494.961000</v>
      </c>
      <c r="P55" t="s">
        <v>150</v>
      </c>
      <c r="R55" s="1"/>
    </row>
    <row r="56" spans="1:18" x14ac:dyDescent="0.25">
      <c r="A56" t="str">
        <f ca="1"/>
        <v>RAIL3 BZ Equity</v>
      </c>
      <c r="B56" t="str">
        <f ca="1"/>
        <v>2024-10-28</v>
      </c>
      <c r="C56" t="str">
        <f ca="1"/>
        <v>TRAIL_12M_EBITDA</v>
      </c>
      <c r="D56" s="4" t="str">
        <f ca="1"/>
        <v>4364.610000</v>
      </c>
      <c r="P56" t="s">
        <v>47</v>
      </c>
      <c r="R56" s="1"/>
    </row>
    <row r="57" spans="1:18" x14ac:dyDescent="0.25">
      <c r="A57" t="str">
        <f ca="1"/>
        <v>ITSA4 BZ Equity</v>
      </c>
      <c r="B57" t="str">
        <f ca="1"/>
        <v>2024-10-28</v>
      </c>
      <c r="C57" t="str">
        <f ca="1"/>
        <v>TRAIL_12M_EBITDA</v>
      </c>
      <c r="D57" s="4" t="str">
        <f ca="1"/>
        <v>5451.000000</v>
      </c>
      <c r="P57" t="s">
        <v>48</v>
      </c>
      <c r="R57" s="1"/>
    </row>
    <row r="58" spans="1:18" x14ac:dyDescent="0.25">
      <c r="A58" t="str">
        <f ca="1"/>
        <v>AZZA3 BZ Equity</v>
      </c>
      <c r="B58" t="str">
        <f ca="1"/>
        <v>2024-10-28</v>
      </c>
      <c r="C58" t="str">
        <f ca="1"/>
        <v>TRAIL_12M_EBITDA</v>
      </c>
      <c r="D58" s="4" t="str">
        <f ca="1"/>
        <v>808.206000</v>
      </c>
      <c r="P58" t="s">
        <v>49</v>
      </c>
      <c r="R58" s="1"/>
    </row>
    <row r="59" spans="1:18" x14ac:dyDescent="0.25">
      <c r="A59" t="str">
        <f ca="1"/>
        <v>COGN3 BZ Equity</v>
      </c>
      <c r="B59" t="str">
        <f ca="1"/>
        <v>2024-10-28</v>
      </c>
      <c r="C59" t="str">
        <f ca="1"/>
        <v>TRAIL_12M_EBITDA</v>
      </c>
      <c r="D59" s="4" t="str">
        <f ca="1"/>
        <v>1717.709000</v>
      </c>
      <c r="P59" t="s">
        <v>50</v>
      </c>
      <c r="R59" s="1"/>
    </row>
    <row r="60" spans="1:18" x14ac:dyDescent="0.25">
      <c r="A60" t="str">
        <f ca="1"/>
        <v>MILS3 BZ Equity</v>
      </c>
      <c r="B60" t="str">
        <f ca="1"/>
        <v>2024-10-28</v>
      </c>
      <c r="C60" t="str">
        <f ca="1"/>
        <v>TRAIL_12M_EBITDA</v>
      </c>
      <c r="D60" s="4" t="str">
        <f ca="1"/>
        <v>709.327400</v>
      </c>
      <c r="P60" t="s">
        <v>51</v>
      </c>
      <c r="R60" s="1"/>
    </row>
    <row r="61" spans="1:18" x14ac:dyDescent="0.25">
      <c r="A61" t="str">
        <f ca="1"/>
        <v>MATD3 BZ Equity</v>
      </c>
      <c r="B61" t="str">
        <f ca="1"/>
        <v>2024-10-28</v>
      </c>
      <c r="C61" t="str">
        <f ca="1"/>
        <v>TRAIL_12M_EBITDA</v>
      </c>
      <c r="D61" s="4" t="str">
        <f ca="1"/>
        <v>-262.614000</v>
      </c>
      <c r="P61" t="s">
        <v>52</v>
      </c>
      <c r="R61" s="1"/>
    </row>
    <row r="62" spans="1:18" x14ac:dyDescent="0.25">
      <c r="A62" t="str">
        <f ca="1"/>
        <v>CYRE3 BZ Equity</v>
      </c>
      <c r="B62" t="str">
        <f ca="1"/>
        <v>2024-10-28</v>
      </c>
      <c r="C62" t="str">
        <f ca="1"/>
        <v>TRAIL_12M_EBITDA</v>
      </c>
      <c r="D62" s="4" t="str">
        <f ca="1"/>
        <v>1128.920000</v>
      </c>
      <c r="P62" t="s">
        <v>53</v>
      </c>
      <c r="R62" s="1"/>
    </row>
    <row r="63" spans="1:18" x14ac:dyDescent="0.25">
      <c r="A63" t="str">
        <f ca="1"/>
        <v>UNIP6 BZ Equity</v>
      </c>
      <c r="B63" t="str">
        <f ca="1"/>
        <v>2024-10-28</v>
      </c>
      <c r="C63" t="str">
        <f ca="1"/>
        <v>TRAIL_12M_EBITDA</v>
      </c>
      <c r="D63" s="4" t="str">
        <f ca="1"/>
        <v>674.260000</v>
      </c>
      <c r="P63" t="s">
        <v>151</v>
      </c>
      <c r="R63" s="1"/>
    </row>
    <row r="64" spans="1:18" x14ac:dyDescent="0.25">
      <c r="A64" t="str">
        <f ca="1"/>
        <v>AURE3 BZ Equity</v>
      </c>
      <c r="B64" t="str">
        <f ca="1"/>
        <v>2024-10-28</v>
      </c>
      <c r="C64" t="str">
        <f ca="1"/>
        <v>TRAIL_12M_EBITDA</v>
      </c>
      <c r="D64" s="4" t="str">
        <f ca="1"/>
        <v>1762.485000</v>
      </c>
      <c r="P64" t="s">
        <v>54</v>
      </c>
      <c r="R64" s="1"/>
    </row>
    <row r="65" spans="1:18" x14ac:dyDescent="0.25">
      <c r="A65" t="str">
        <f ca="1"/>
        <v>PORT3 BZ Equity</v>
      </c>
      <c r="B65" t="str">
        <f ca="1"/>
        <v>2024-10-28</v>
      </c>
      <c r="C65" t="str">
        <f ca="1"/>
        <v>TRAIL_12M_EBITDA</v>
      </c>
      <c r="D65" s="4" t="str">
        <f ca="1"/>
        <v>1099.302000</v>
      </c>
      <c r="P65" t="s">
        <v>55</v>
      </c>
      <c r="R65" s="1"/>
    </row>
    <row r="66" spans="1:18" x14ac:dyDescent="0.25">
      <c r="A66" t="str">
        <f ca="1"/>
        <v>HAPV3 BZ Equity</v>
      </c>
      <c r="B66" t="str">
        <f ca="1"/>
        <v>2024-10-28</v>
      </c>
      <c r="C66" t="str">
        <f ca="1"/>
        <v>TRAIL_12M_EBITDA</v>
      </c>
      <c r="D66" s="4" t="str">
        <f ca="1"/>
        <v>3495.550000</v>
      </c>
      <c r="P66" t="s">
        <v>56</v>
      </c>
      <c r="R66" s="1"/>
    </row>
    <row r="67" spans="1:18" x14ac:dyDescent="0.25">
      <c r="A67" t="str">
        <f ca="1"/>
        <v>RDOR3 BZ Equity</v>
      </c>
      <c r="B67" t="str">
        <f ca="1"/>
        <v>2024-10-28</v>
      </c>
      <c r="C67" t="str">
        <f ca="1"/>
        <v>TRAIL_12M_EBITDA</v>
      </c>
      <c r="D67" s="4" t="str">
        <f ca="1"/>
        <v>8581.571000</v>
      </c>
      <c r="P67" t="s">
        <v>57</v>
      </c>
      <c r="R67" s="1"/>
    </row>
    <row r="68" spans="1:18" x14ac:dyDescent="0.25">
      <c r="A68" t="str">
        <f ca="1"/>
        <v>B3SA3 BZ Equity</v>
      </c>
      <c r="B68" t="str">
        <f ca="1"/>
        <v>2024-10-28</v>
      </c>
      <c r="C68" t="str">
        <f ca="1"/>
        <v>TRAIL_12M_EBITDA</v>
      </c>
      <c r="D68" s="4" t="str">
        <f ca="1"/>
        <v>6400.233000</v>
      </c>
      <c r="P68" t="s">
        <v>139</v>
      </c>
      <c r="R68" s="1"/>
    </row>
    <row r="69" spans="1:18" x14ac:dyDescent="0.25">
      <c r="A69" t="str">
        <f ca="1"/>
        <v>RENT3 BZ Equity</v>
      </c>
      <c r="B69" t="str">
        <f ca="1"/>
        <v>2024-10-28</v>
      </c>
      <c r="C69" t="str">
        <f ca="1"/>
        <v>TRAIL_12M_EBITDA</v>
      </c>
      <c r="D69" s="4" t="str">
        <f ca="1"/>
        <v>10824.526000</v>
      </c>
      <c r="P69" t="s">
        <v>58</v>
      </c>
      <c r="R69" s="1"/>
    </row>
    <row r="70" spans="1:18" x14ac:dyDescent="0.25">
      <c r="A70" t="str">
        <f ca="1"/>
        <v>BRFS3 BZ Equity</v>
      </c>
      <c r="B70" t="str">
        <f ca="1"/>
        <v>2024-10-28</v>
      </c>
      <c r="C70" t="str">
        <f ca="1"/>
        <v>TRAIL_12M_EBITDA</v>
      </c>
      <c r="D70" s="4" t="str">
        <f ca="1"/>
        <v>7456.213000</v>
      </c>
      <c r="P70" t="s">
        <v>59</v>
      </c>
      <c r="R70" s="1"/>
    </row>
    <row r="71" spans="1:18" x14ac:dyDescent="0.25">
      <c r="A71" t="str">
        <f ca="1"/>
        <v>CSAN3 BZ Equity</v>
      </c>
      <c r="B71" t="str">
        <f ca="1"/>
        <v>2024-10-28</v>
      </c>
      <c r="C71" t="str">
        <f ca="1"/>
        <v>TRAIL_12M_EBITDA</v>
      </c>
      <c r="D71" s="4" t="str">
        <f ca="1"/>
        <v>12851.960000</v>
      </c>
      <c r="P71" t="s">
        <v>60</v>
      </c>
      <c r="R71" s="1"/>
    </row>
    <row r="72" spans="1:18" x14ac:dyDescent="0.25">
      <c r="A72" t="str">
        <f ca="1"/>
        <v>VSTE3 BZ Equity</v>
      </c>
      <c r="B72" t="str">
        <f ca="1"/>
        <v>2024-10-28</v>
      </c>
      <c r="C72" t="str">
        <f ca="1"/>
        <v>TRAIL_12M_EBITDA</v>
      </c>
      <c r="D72" s="4" t="str">
        <f ca="1"/>
        <v>215.140000</v>
      </c>
      <c r="P72" t="s">
        <v>61</v>
      </c>
      <c r="R72" s="1"/>
    </row>
    <row r="73" spans="1:18" x14ac:dyDescent="0.25">
      <c r="A73" t="str">
        <f ca="1"/>
        <v>BMOB3 BZ Equity</v>
      </c>
      <c r="B73" t="str">
        <f ca="1"/>
        <v>2024-10-28</v>
      </c>
      <c r="C73" t="str">
        <f ca="1"/>
        <v>TRAIL_12M_EBITDA</v>
      </c>
      <c r="D73" s="4" t="str">
        <f ca="1"/>
        <v>170.323000</v>
      </c>
      <c r="P73" t="s">
        <v>62</v>
      </c>
      <c r="R73" s="1"/>
    </row>
    <row r="74" spans="1:18" x14ac:dyDescent="0.25">
      <c r="A74" t="str">
        <f ca="1"/>
        <v>TTEN3 BZ Equity</v>
      </c>
      <c r="B74" t="str">
        <f ca="1"/>
        <v>2024-10-28</v>
      </c>
      <c r="C74" t="str">
        <f ca="1"/>
        <v>TRAIL_12M_EBITDA</v>
      </c>
      <c r="D74" s="4" t="str">
        <f ca="1"/>
        <v>932.667000</v>
      </c>
      <c r="P74" t="s">
        <v>63</v>
      </c>
      <c r="R74" s="1"/>
    </row>
    <row r="75" spans="1:18" x14ac:dyDescent="0.25">
      <c r="A75" t="str">
        <f ca="1"/>
        <v>ENJU3 BZ Equity</v>
      </c>
      <c r="B75" t="str">
        <f ca="1"/>
        <v>2024-10-28</v>
      </c>
      <c r="C75" t="str">
        <f ca="1"/>
        <v>TRAIL_12M_EBITDA</v>
      </c>
      <c r="D75" s="4" t="str">
        <f ca="1"/>
        <v>-44.972000</v>
      </c>
      <c r="P75" t="s">
        <v>152</v>
      </c>
      <c r="R75" s="1"/>
    </row>
    <row r="76" spans="1:18" x14ac:dyDescent="0.25">
      <c r="A76" t="str">
        <f ca="1"/>
        <v>ZAMP3 BZ Equity</v>
      </c>
      <c r="B76" t="str">
        <f ca="1"/>
        <v>2024-10-28</v>
      </c>
      <c r="C76" t="str">
        <f ca="1"/>
        <v>TRAIL_12M_EBITDA</v>
      </c>
      <c r="D76" s="4" t="str">
        <f ca="1"/>
        <v>544.292000</v>
      </c>
      <c r="P76" t="s">
        <v>64</v>
      </c>
      <c r="R76" s="1"/>
    </row>
    <row r="77" spans="1:18" x14ac:dyDescent="0.25">
      <c r="A77" t="str">
        <f ca="1"/>
        <v>FLRY3 BZ Equity</v>
      </c>
      <c r="B77" t="str">
        <f ca="1"/>
        <v>2024-10-28</v>
      </c>
      <c r="C77" t="str">
        <f ca="1"/>
        <v>TRAIL_12M_EBITDA</v>
      </c>
      <c r="D77" s="4" t="str">
        <f ca="1"/>
        <v>1922.653000</v>
      </c>
      <c r="P77" t="s">
        <v>65</v>
      </c>
      <c r="R77" s="1"/>
    </row>
    <row r="78" spans="1:18" x14ac:dyDescent="0.25">
      <c r="A78" t="str">
        <f ca="1"/>
        <v>PETR3 BZ Equity</v>
      </c>
      <c r="B78" t="str">
        <f ca="1"/>
        <v>2024-10-28</v>
      </c>
      <c r="C78" t="str">
        <f ca="1"/>
        <v>TRAIL_12M_EBITDA</v>
      </c>
      <c r="D78" s="4" t="str">
        <f ca="1"/>
        <v>235697.000000</v>
      </c>
      <c r="P78" t="s">
        <v>153</v>
      </c>
      <c r="R78" s="1"/>
    </row>
    <row r="79" spans="1:18" x14ac:dyDescent="0.25">
      <c r="A79" t="str">
        <f ca="1"/>
        <v>HYPE3 BZ Equity</v>
      </c>
      <c r="B79" t="str">
        <f ca="1"/>
        <v>2024-10-28</v>
      </c>
      <c r="C79" t="str">
        <f ca="1"/>
        <v>TRAIL_12M_EBITDA</v>
      </c>
      <c r="D79" s="4" t="str">
        <f ca="1"/>
        <v>2755.235000</v>
      </c>
      <c r="P79" t="s">
        <v>66</v>
      </c>
      <c r="R79" s="1"/>
    </row>
    <row r="80" spans="1:18" x14ac:dyDescent="0.25">
      <c r="A80" t="str">
        <f ca="1"/>
        <v>JHSF3 BZ Equity</v>
      </c>
      <c r="B80" t="str">
        <f ca="1"/>
        <v>2024-10-28</v>
      </c>
      <c r="C80" t="str">
        <f ca="1"/>
        <v>TRAIL_12M_EBITDA</v>
      </c>
      <c r="D80" s="4" t="str">
        <f ca="1"/>
        <v>1065.453000</v>
      </c>
      <c r="P80" t="s">
        <v>67</v>
      </c>
      <c r="R80" s="1"/>
    </row>
    <row r="81" spans="1:18" x14ac:dyDescent="0.25">
      <c r="A81" t="str">
        <f ca="1"/>
        <v>NTCO3 BZ Equity</v>
      </c>
      <c r="B81" t="str">
        <f ca="1"/>
        <v>2024-10-28</v>
      </c>
      <c r="C81" t="str">
        <f ca="1"/>
        <v>TRAIL_12M_EBITDA</v>
      </c>
      <c r="D81" s="4" t="str">
        <f ca="1"/>
        <v>2252.450000</v>
      </c>
      <c r="P81" t="s">
        <v>154</v>
      </c>
      <c r="R81" s="1"/>
    </row>
    <row r="82" spans="1:18" x14ac:dyDescent="0.25">
      <c r="A82" t="str">
        <f ca="1"/>
        <v>YDUQ3 BZ Equity</v>
      </c>
      <c r="B82" t="str">
        <f ca="1"/>
        <v>2024-10-28</v>
      </c>
      <c r="C82" t="str">
        <f ca="1"/>
        <v>TRAIL_12M_EBITDA</v>
      </c>
      <c r="D82" s="4" t="str">
        <f ca="1"/>
        <v>1671.117000</v>
      </c>
      <c r="P82" t="s">
        <v>68</v>
      </c>
      <c r="R82" s="1"/>
    </row>
    <row r="83" spans="1:18" x14ac:dyDescent="0.25">
      <c r="A83" t="str">
        <f ca="1"/>
        <v>POSI3 BZ Equity</v>
      </c>
      <c r="B83" t="str">
        <f ca="1"/>
        <v>2024-10-28</v>
      </c>
      <c r="C83" t="str">
        <f ca="1"/>
        <v>TRAIL_12M_EBITDA</v>
      </c>
      <c r="D83" s="4" t="str">
        <f ca="1"/>
        <v>592.272000</v>
      </c>
      <c r="P83" t="s">
        <v>155</v>
      </c>
      <c r="R83" s="1"/>
    </row>
    <row r="84" spans="1:18" x14ac:dyDescent="0.25">
      <c r="A84" t="str">
        <f ca="1"/>
        <v>FESA4 BZ Equity</v>
      </c>
      <c r="B84" t="str">
        <f ca="1"/>
        <v>2024-10-28</v>
      </c>
      <c r="C84" t="str">
        <f ca="1"/>
        <v>TRAIL_12M_EBITDA</v>
      </c>
      <c r="D84" s="4" t="str">
        <f ca="1"/>
        <v>359.580000</v>
      </c>
      <c r="P84" t="s">
        <v>69</v>
      </c>
      <c r="R84" s="1"/>
    </row>
    <row r="85" spans="1:18" x14ac:dyDescent="0.25">
      <c r="A85" t="str">
        <f ca="1"/>
        <v>AESB3 BZ Equity</v>
      </c>
      <c r="B85" t="str">
        <f ca="1"/>
        <v>2024-10-28</v>
      </c>
      <c r="C85" t="str">
        <f ca="1"/>
        <v>TRAIL_12M_EBITDA</v>
      </c>
      <c r="D85" s="4" t="str">
        <f ca="1"/>
        <v>1656.475000</v>
      </c>
      <c r="P85" t="s">
        <v>70</v>
      </c>
      <c r="R85" s="1"/>
    </row>
    <row r="86" spans="1:18" x14ac:dyDescent="0.25">
      <c r="A86" t="str">
        <f ca="1"/>
        <v>ARML3 BZ Equity</v>
      </c>
      <c r="B86" t="str">
        <f ca="1"/>
        <v>2024-10-28</v>
      </c>
      <c r="C86" t="str">
        <f ca="1"/>
        <v>TRAIL_12M_EBITDA</v>
      </c>
      <c r="D86" s="4" t="str">
        <f ca="1"/>
        <v>700.386000</v>
      </c>
      <c r="P86" t="s">
        <v>71</v>
      </c>
      <c r="R86" s="1"/>
    </row>
    <row r="87" spans="1:18" x14ac:dyDescent="0.25">
      <c r="A87" t="str">
        <f ca="1"/>
        <v>TIMS3 BZ Equity</v>
      </c>
      <c r="B87" t="str">
        <f ca="1"/>
        <v>2024-10-28</v>
      </c>
      <c r="C87" t="str">
        <f ca="1"/>
        <v>TRAIL_12M_EBITDA</v>
      </c>
      <c r="D87" s="4" t="str">
        <f ca="1"/>
        <v>12494.961000</v>
      </c>
      <c r="P87" t="s">
        <v>156</v>
      </c>
      <c r="R87" s="1"/>
    </row>
    <row r="88" spans="1:18" x14ac:dyDescent="0.25">
      <c r="A88" t="str">
        <f ca="1"/>
        <v>ECOR3 BZ Equity</v>
      </c>
      <c r="B88" t="str">
        <f ca="1"/>
        <v>2024-10-28</v>
      </c>
      <c r="C88" t="str">
        <f ca="1"/>
        <v>TRAIL_12M_EBITDA</v>
      </c>
      <c r="D88" s="4" t="str">
        <f ca="1"/>
        <v>4084.558000</v>
      </c>
      <c r="P88" t="s">
        <v>72</v>
      </c>
      <c r="R88" s="1"/>
    </row>
    <row r="89" spans="1:18" x14ac:dyDescent="0.25">
      <c r="A89" t="str">
        <f ca="1"/>
        <v>OPCT3 BZ Equity</v>
      </c>
      <c r="B89" t="str">
        <f ca="1"/>
        <v>2024-10-28</v>
      </c>
      <c r="C89" t="str">
        <f ca="1"/>
        <v>TRAIL_12M_EBITDA</v>
      </c>
      <c r="D89" s="4" t="str">
        <f ca="1"/>
        <v>528.013000</v>
      </c>
      <c r="P89" t="s">
        <v>73</v>
      </c>
      <c r="R89" s="1"/>
    </row>
    <row r="90" spans="1:18" x14ac:dyDescent="0.25">
      <c r="A90" t="str">
        <f ca="1"/>
        <v>GUAR3 BZ Equity</v>
      </c>
      <c r="B90" t="str">
        <f ca="1"/>
        <v>2024-10-28</v>
      </c>
      <c r="C90" t="str">
        <f ca="1"/>
        <v>TRAIL_12M_EBITDA</v>
      </c>
      <c r="D90" s="4" t="str">
        <f ca="1"/>
        <v>1297.578000</v>
      </c>
      <c r="P90" t="s">
        <v>74</v>
      </c>
      <c r="R90" s="1"/>
    </row>
    <row r="91" spans="1:18" x14ac:dyDescent="0.25">
      <c r="A91" t="str">
        <f ca="1"/>
        <v>RAPT4 BZ Equity</v>
      </c>
      <c r="B91" t="str">
        <f ca="1"/>
        <v>2024-10-28</v>
      </c>
      <c r="C91" t="str">
        <f ca="1"/>
        <v>TRAIL_12M_EBITDA</v>
      </c>
      <c r="D91" s="4" t="str">
        <f ca="1"/>
        <v>1422.260000</v>
      </c>
      <c r="P91" t="s">
        <v>75</v>
      </c>
      <c r="R91" s="1"/>
    </row>
    <row r="92" spans="1:18" x14ac:dyDescent="0.25">
      <c r="A92" t="str">
        <f ca="1"/>
        <v>CVCB3 BZ Equity</v>
      </c>
      <c r="B92" t="str">
        <f ca="1"/>
        <v>2024-10-28</v>
      </c>
      <c r="C92" t="str">
        <f ca="1"/>
        <v>TRAIL_12M_EBITDA</v>
      </c>
      <c r="D92" s="4" t="str">
        <f ca="1"/>
        <v>215.664000</v>
      </c>
      <c r="P92" t="s">
        <v>76</v>
      </c>
      <c r="R92" s="1"/>
    </row>
    <row r="93" spans="1:18" x14ac:dyDescent="0.25">
      <c r="A93" t="str">
        <f ca="1"/>
        <v>VTRU3 BZ Equity</v>
      </c>
      <c r="B93" t="str">
        <f ca="1"/>
        <v>2024-10-28</v>
      </c>
      <c r="C93" t="str">
        <f ca="1"/>
        <v>TRAIL_12M_EBITDA</v>
      </c>
      <c r="D93" s="4" t="str">
        <f ca="1"/>
        <v>1016.724000</v>
      </c>
      <c r="P93" t="s">
        <v>77</v>
      </c>
      <c r="R93" s="1"/>
    </row>
    <row r="94" spans="1:18" x14ac:dyDescent="0.25">
      <c r="A94" t="str">
        <f ca="1"/>
        <v>EZTC3 BZ Equity</v>
      </c>
      <c r="B94" t="str">
        <f ca="1"/>
        <v>2024-10-28</v>
      </c>
      <c r="C94" t="str">
        <f ca="1"/>
        <v>TRAIL_12M_EBITDA</v>
      </c>
      <c r="D94" s="4" t="str">
        <f ca="1"/>
        <v>172.908000</v>
      </c>
      <c r="P94" t="s">
        <v>79</v>
      </c>
      <c r="R94" s="1"/>
    </row>
    <row r="95" spans="1:18" x14ac:dyDescent="0.25">
      <c r="A95" t="str">
        <f ca="1"/>
        <v>AURA33 BZ Equity</v>
      </c>
      <c r="B95" t="str">
        <f ca="1"/>
        <v>2024-10-28</v>
      </c>
      <c r="C95" t="str">
        <f ca="1"/>
        <v>TRAIL_12M_EBITDA</v>
      </c>
      <c r="D95" s="4" t="str">
        <f ca="1"/>
        <v>181.125000</v>
      </c>
      <c r="P95" t="s">
        <v>80</v>
      </c>
      <c r="R95" s="1"/>
    </row>
    <row r="96" spans="1:18" x14ac:dyDescent="0.25">
      <c r="A96" t="str">
        <f ca="1"/>
        <v>GGBR4 BZ Equity</v>
      </c>
      <c r="B96" t="str">
        <f ca="1"/>
        <v>2024-10-28</v>
      </c>
      <c r="C96" t="str">
        <f ca="1"/>
        <v>TRAIL_12M_EBITDA</v>
      </c>
      <c r="D96" s="4" t="str">
        <f ca="1"/>
        <v>10297.596000</v>
      </c>
      <c r="P96" t="s">
        <v>81</v>
      </c>
      <c r="R96" s="1"/>
    </row>
    <row r="97" spans="1:18" x14ac:dyDescent="0.25">
      <c r="A97" t="str">
        <f ca="1"/>
        <v>VBBR3 BZ Equity</v>
      </c>
      <c r="B97" t="str">
        <f ca="1"/>
        <v>2024-10-28</v>
      </c>
      <c r="C97" t="str">
        <f ca="1"/>
        <v>TRAIL_12M_EBITDA</v>
      </c>
      <c r="D97" s="4" t="str">
        <f ca="1"/>
        <v>9533.000000</v>
      </c>
      <c r="P97" t="s">
        <v>157</v>
      </c>
      <c r="R97" s="1"/>
    </row>
    <row r="98" spans="1:18" x14ac:dyDescent="0.25">
      <c r="A98" t="str">
        <f ca="1"/>
        <v>UGPA3 BZ Equity</v>
      </c>
      <c r="B98" t="str">
        <f ca="1"/>
        <v>2024-10-28</v>
      </c>
      <c r="C98" t="str">
        <f ca="1"/>
        <v>TRAIL_12M_EBITDA</v>
      </c>
      <c r="D98" s="4" t="str">
        <f ca="1"/>
        <v>6441.036000</v>
      </c>
      <c r="P98" t="s">
        <v>82</v>
      </c>
      <c r="R98" s="1"/>
    </row>
    <row r="99" spans="1:18" x14ac:dyDescent="0.25">
      <c r="A99" t="str">
        <f ca="1"/>
        <v>ELET3 BZ Equity</v>
      </c>
      <c r="B99" t="str">
        <f ca="1"/>
        <v>2024-10-28</v>
      </c>
      <c r="C99" t="str">
        <f ca="1"/>
        <v>TRAIL_12M_EBITDA</v>
      </c>
      <c r="D99" s="4" t="str">
        <f ca="1"/>
        <v>12720.740000</v>
      </c>
      <c r="P99" t="s">
        <v>83</v>
      </c>
      <c r="R99" s="1"/>
    </row>
    <row r="100" spans="1:18" x14ac:dyDescent="0.25">
      <c r="A100" t="str">
        <f ca="1"/>
        <v>BEEF3 BZ Equity</v>
      </c>
      <c r="B100" t="str">
        <f ca="1"/>
        <v>2024-10-28</v>
      </c>
      <c r="C100" t="str">
        <f ca="1"/>
        <v>TRAIL_12M_EBITDA</v>
      </c>
      <c r="D100" s="4" t="str">
        <f ca="1"/>
        <v>2693.030000</v>
      </c>
      <c r="P100" t="s">
        <v>158</v>
      </c>
      <c r="R100" s="1"/>
    </row>
    <row r="101" spans="1:18" x14ac:dyDescent="0.25">
      <c r="A101" t="str">
        <f ca="1"/>
        <v>RRRP3 BZ Equity</v>
      </c>
      <c r="B101" t="str">
        <f ca="1"/>
        <v>2024-10-28</v>
      </c>
      <c r="C101" t="str">
        <f ca="1"/>
        <v>TRAIL_12M_EBITDA</v>
      </c>
      <c r="D101" s="4" t="str">
        <f ca="1"/>
        <v>3113.816000</v>
      </c>
      <c r="P101" t="s">
        <v>84</v>
      </c>
      <c r="R101" s="1"/>
    </row>
    <row r="102" spans="1:18" x14ac:dyDescent="0.25">
      <c r="A102" t="str">
        <f ca="1"/>
        <v>RADL3 BZ Equity</v>
      </c>
      <c r="B102" t="str">
        <f ca="1"/>
        <v>2024-10-28</v>
      </c>
      <c r="C102" t="str">
        <f ca="1"/>
        <v>TRAIL_12M_EBITDA</v>
      </c>
      <c r="D102" s="4" t="str">
        <f ca="1"/>
        <v>3979.155000</v>
      </c>
      <c r="P102" t="s">
        <v>85</v>
      </c>
      <c r="R102" s="1"/>
    </row>
    <row r="103" spans="1:18" x14ac:dyDescent="0.25">
      <c r="A103" t="str">
        <f ca="1"/>
        <v>AMER3 BZ Equity</v>
      </c>
      <c r="B103" t="str">
        <f ca="1"/>
        <v>2024-10-28</v>
      </c>
      <c r="C103" t="str">
        <f ca="1"/>
        <v>TRAIL_12M_EBITDA</v>
      </c>
      <c r="D103" s="4" t="str">
        <f ca="1"/>
        <v>-227.000000</v>
      </c>
      <c r="P103" t="s">
        <v>84</v>
      </c>
      <c r="R103" s="1"/>
    </row>
    <row r="104" spans="1:18" x14ac:dyDescent="0.25">
      <c r="A104" t="str">
        <f ca="1"/>
        <v>MULT3 BZ Equity</v>
      </c>
      <c r="B104" t="str">
        <f ca="1"/>
        <v>2024-10-28</v>
      </c>
      <c r="C104" t="str">
        <f ca="1"/>
        <v>TRAIL_12M_EBITDA</v>
      </c>
      <c r="D104" s="4" t="str">
        <f ca="1"/>
        <v>1596.671000</v>
      </c>
      <c r="P104" t="s">
        <v>159</v>
      </c>
      <c r="R104" s="1"/>
    </row>
    <row r="105" spans="1:18" x14ac:dyDescent="0.25">
      <c r="A105" t="str">
        <f ca="1"/>
        <v>CURY3 BZ Equity</v>
      </c>
      <c r="B105" t="str">
        <f ca="1"/>
        <v>2024-10-28</v>
      </c>
      <c r="C105" t="str">
        <f ca="1"/>
        <v>TRAIL_12M_EBITDA</v>
      </c>
      <c r="D105" s="4" t="str">
        <f ca="1"/>
        <v>723.028000</v>
      </c>
      <c r="P105" t="s">
        <v>86</v>
      </c>
      <c r="R105" s="1"/>
    </row>
    <row r="106" spans="1:18" x14ac:dyDescent="0.25">
      <c r="A106" t="str">
        <f ca="1"/>
        <v>EQTL3 BZ Equity</v>
      </c>
      <c r="B106" t="str">
        <f ca="1"/>
        <v>2024-10-28</v>
      </c>
      <c r="C106" t="str">
        <f ca="1"/>
        <v>TRAIL_12M_EBITDA</v>
      </c>
      <c r="D106" s="4" t="str">
        <f ca="1"/>
        <v>10508.810000</v>
      </c>
      <c r="P106" t="s">
        <v>87</v>
      </c>
      <c r="R106" s="1"/>
    </row>
    <row r="107" spans="1:18" x14ac:dyDescent="0.25">
      <c r="A107" t="str">
        <f ca="1"/>
        <v>MDIA3 BZ Equity</v>
      </c>
      <c r="B107" t="str">
        <f ca="1"/>
        <v>2024-10-28</v>
      </c>
      <c r="C107" t="str">
        <f ca="1"/>
        <v>TRAIL_12M_EBITDA</v>
      </c>
      <c r="D107" s="4" t="str">
        <f ca="1"/>
        <v>1508.810000</v>
      </c>
      <c r="P107" t="s">
        <v>85</v>
      </c>
      <c r="R107" s="1"/>
    </row>
    <row r="108" spans="1:18" x14ac:dyDescent="0.25">
      <c r="A108" t="str">
        <f ca="1"/>
        <v>OIBR3 BZ Equity</v>
      </c>
      <c r="B108" t="str">
        <f ca="1"/>
        <v>2024-10-28</v>
      </c>
      <c r="C108" t="str">
        <f ca="1"/>
        <v>TRAIL_12M_EBITDA</v>
      </c>
      <c r="D108" s="4" t="str">
        <f ca="1"/>
        <v>-1262.050000</v>
      </c>
      <c r="P108" t="s">
        <v>88</v>
      </c>
      <c r="R108" s="1"/>
    </row>
    <row r="109" spans="1:18" x14ac:dyDescent="0.25">
      <c r="A109" t="str">
        <f ca="1"/>
        <v>ENEV3 BZ Equity</v>
      </c>
      <c r="B109" t="str">
        <f ca="1"/>
        <v>2024-10-28</v>
      </c>
      <c r="C109" t="str">
        <f ca="1"/>
        <v>TRAIL_12M_EBITDA</v>
      </c>
      <c r="D109" s="4" t="str">
        <f ca="1"/>
        <v>4194.965000</v>
      </c>
      <c r="P109" t="s">
        <v>9</v>
      </c>
      <c r="R109" s="1"/>
    </row>
    <row r="110" spans="1:18" x14ac:dyDescent="0.25">
      <c r="A110" t="str">
        <f ca="1"/>
        <v>SMFT3 BZ Equity</v>
      </c>
      <c r="B110" t="str">
        <f ca="1"/>
        <v>2024-10-28</v>
      </c>
      <c r="C110" t="str">
        <f ca="1"/>
        <v>TRAIL_12M_EBITDA</v>
      </c>
      <c r="D110" s="4" t="str">
        <f ca="1"/>
        <v>2300.869000</v>
      </c>
      <c r="P110" t="s">
        <v>160</v>
      </c>
      <c r="R110" s="1"/>
    </row>
    <row r="111" spans="1:18" x14ac:dyDescent="0.25">
      <c r="A111" t="str">
        <f ca="1"/>
        <v>EMBR3 BZ Equity</v>
      </c>
      <c r="B111" t="str">
        <f ca="1"/>
        <v>2024-10-28</v>
      </c>
      <c r="C111" t="str">
        <f ca="1"/>
        <v>TRAIL_12M_EBITDA</v>
      </c>
      <c r="D111" s="4" t="str">
        <f ca="1"/>
        <v>3271.297000</v>
      </c>
      <c r="P111" t="s">
        <v>89</v>
      </c>
      <c r="R111" s="1"/>
    </row>
    <row r="112" spans="1:18" x14ac:dyDescent="0.25">
      <c r="A112" t="str">
        <f ca="1"/>
        <v>PFRM3 BZ Equity</v>
      </c>
      <c r="B112" t="str">
        <f ca="1"/>
        <v>2024-10-28</v>
      </c>
      <c r="C112" t="str">
        <f ca="1"/>
        <v>TRAIL_12M_EBITDA</v>
      </c>
      <c r="D112" t="str">
        <f ca="1"/>
        <v>444.191000</v>
      </c>
      <c r="P112" t="s">
        <v>161</v>
      </c>
      <c r="R112" s="1"/>
    </row>
    <row r="113" spans="1:18" x14ac:dyDescent="0.25">
      <c r="A113" t="str">
        <f ca="1"/>
        <v>SEER3 BZ Equity</v>
      </c>
      <c r="B113" t="str">
        <f ca="1"/>
        <v>2024-10-28</v>
      </c>
      <c r="C113" t="str">
        <f ca="1"/>
        <v>TRAIL_12M_EBITDA</v>
      </c>
      <c r="D113" t="str">
        <f ca="1"/>
        <v>516.397000</v>
      </c>
      <c r="P113" t="s">
        <v>162</v>
      </c>
      <c r="R113" s="1"/>
    </row>
    <row r="114" spans="1:18" x14ac:dyDescent="0.25">
      <c r="A114" t="str">
        <f ca="1"/>
        <v>ALLD3 BZ Equity</v>
      </c>
      <c r="B114" t="str">
        <f ca="1"/>
        <v>2024-10-28</v>
      </c>
      <c r="C114" t="str">
        <f ca="1"/>
        <v>TRAIL_12M_EBITDA</v>
      </c>
      <c r="D114" t="str">
        <f ca="1"/>
        <v>263.085000</v>
      </c>
      <c r="P114" t="s">
        <v>163</v>
      </c>
      <c r="R114" s="1"/>
    </row>
    <row r="115" spans="1:18" x14ac:dyDescent="0.25">
      <c r="A115" t="str">
        <f ca="1"/>
        <v>AALR3 BZ Equity</v>
      </c>
      <c r="B115" t="str">
        <f ca="1"/>
        <v>2024-10-28</v>
      </c>
      <c r="C115" t="str">
        <f ca="1"/>
        <v>TRAIL_12M_EBITDA</v>
      </c>
      <c r="D115" t="str">
        <f ca="1"/>
        <v>131.072000</v>
      </c>
      <c r="P115" t="s">
        <v>91</v>
      </c>
      <c r="R115" s="1"/>
    </row>
    <row r="116" spans="1:18" x14ac:dyDescent="0.25">
      <c r="A116" t="str">
        <f ca="1"/>
        <v>ENGI11 BZ Equity</v>
      </c>
      <c r="B116" t="str">
        <f ca="1"/>
        <v>2024-10-28</v>
      </c>
      <c r="C116" t="str">
        <f ca="1"/>
        <v>TRAIL_12M_EBITDA</v>
      </c>
      <c r="D116" t="str">
        <f ca="1"/>
        <v>8296.537000</v>
      </c>
      <c r="P116" t="s">
        <v>92</v>
      </c>
      <c r="R116" s="1"/>
    </row>
    <row r="117" spans="1:18" x14ac:dyDescent="0.25">
      <c r="A117" t="str">
        <f ca="1"/>
        <v>ELPL3 BZ Equity</v>
      </c>
      <c r="B117" t="str">
        <f ca="1"/>
        <v>2024-10-28</v>
      </c>
      <c r="C117" t="str">
        <f ca="1"/>
        <v>TRAIL_12M_EBITDA</v>
      </c>
      <c r="D117" t="str">
        <f ca="1"/>
        <v>4201.775000</v>
      </c>
      <c r="P117" t="s">
        <v>93</v>
      </c>
      <c r="R117" s="1"/>
    </row>
    <row r="118" spans="1:18" x14ac:dyDescent="0.25">
      <c r="A118" t="str">
        <f ca="1"/>
        <v>VITT3 BZ Equity</v>
      </c>
      <c r="B118" t="str">
        <f ca="1"/>
        <v>2024-10-28</v>
      </c>
      <c r="C118" t="str">
        <f ca="1"/>
        <v>TRAIL_12M_EBITDA</v>
      </c>
      <c r="D118" t="str">
        <f ca="1"/>
        <v>100.236000</v>
      </c>
      <c r="P118" t="s">
        <v>164</v>
      </c>
      <c r="R118" s="1"/>
    </row>
    <row r="119" spans="1:18" x14ac:dyDescent="0.25">
      <c r="A119" t="str">
        <f ca="1"/>
        <v>INTB3 BZ Equity</v>
      </c>
      <c r="B119" t="str">
        <f ca="1"/>
        <v>2024-10-28</v>
      </c>
      <c r="C119" t="str">
        <f ca="1"/>
        <v>TRAIL_12M_EBITDA</v>
      </c>
      <c r="D119" t="str">
        <f ca="1"/>
        <v>645.253000</v>
      </c>
      <c r="P119" t="s">
        <v>94</v>
      </c>
      <c r="R119" s="1"/>
    </row>
    <row r="120" spans="1:18" x14ac:dyDescent="0.25">
      <c r="A120" t="str">
        <f ca="1"/>
        <v>CPFE3 BZ Equity</v>
      </c>
      <c r="B120" t="str">
        <f ca="1"/>
        <v>2024-10-28</v>
      </c>
      <c r="C120" t="str">
        <f ca="1"/>
        <v>TRAIL_12M_EBITDA</v>
      </c>
      <c r="D120" t="str">
        <f ca="1"/>
        <v>12615.711000</v>
      </c>
      <c r="P120" t="s">
        <v>165</v>
      </c>
      <c r="R120" s="1"/>
    </row>
    <row r="121" spans="1:18" x14ac:dyDescent="0.25">
      <c r="A121" t="str">
        <f ca="1"/>
        <v>TASA4 BZ Equity</v>
      </c>
      <c r="B121" t="str">
        <f ca="1"/>
        <v>2024-10-28</v>
      </c>
      <c r="C121" t="str">
        <f ca="1"/>
        <v>TRAIL_12M_EBITDA</v>
      </c>
      <c r="D121" t="str">
        <f ca="1"/>
        <v>230.855000</v>
      </c>
      <c r="P121" t="s">
        <v>95</v>
      </c>
      <c r="R121" s="1"/>
    </row>
    <row r="122" spans="1:18" x14ac:dyDescent="0.25">
      <c r="A122" t="str">
        <f ca="1"/>
        <v>SLCE3 BZ Equity</v>
      </c>
      <c r="B122" t="str">
        <f ca="1"/>
        <v>2024-10-28</v>
      </c>
      <c r="C122" t="str">
        <f ca="1"/>
        <v>TRAIL_12M_EBITDA</v>
      </c>
      <c r="D122" t="str">
        <f ca="1"/>
        <v>2053.970000</v>
      </c>
      <c r="P122" t="s">
        <v>96</v>
      </c>
      <c r="R122" s="1"/>
    </row>
    <row r="123" spans="1:18" x14ac:dyDescent="0.25">
      <c r="A123" t="str">
        <f ca="1"/>
        <v>POMO4 BZ Equity</v>
      </c>
      <c r="B123" t="str">
        <f ca="1"/>
        <v>2024-10-28</v>
      </c>
      <c r="C123" t="str">
        <f ca="1"/>
        <v>TRAIL_12M_EBITDA</v>
      </c>
      <c r="D123" t="str">
        <f ca="1"/>
        <v>1176.688000</v>
      </c>
      <c r="P123" t="s">
        <v>97</v>
      </c>
      <c r="R123" s="1"/>
    </row>
    <row r="124" spans="1:18" x14ac:dyDescent="0.25">
      <c r="A124" t="str">
        <f ca="1"/>
        <v>ELMD3 BZ Equity</v>
      </c>
      <c r="B124" t="str">
        <f ca="1"/>
        <v>2024-10-28</v>
      </c>
      <c r="C124" t="str">
        <f ca="1"/>
        <v>TRAIL_12M_EBITDA</v>
      </c>
      <c r="D124" t="str">
        <f ca="1"/>
        <v>405.982000</v>
      </c>
      <c r="P124" t="s">
        <v>98</v>
      </c>
      <c r="R124" s="1"/>
    </row>
    <row r="125" spans="1:18" x14ac:dyDescent="0.25">
      <c r="A125" t="str">
        <f ca="1"/>
        <v>MELK3 BZ Equity</v>
      </c>
      <c r="B125" t="str">
        <f ca="1"/>
        <v>2024-10-28</v>
      </c>
      <c r="C125" t="str">
        <f ca="1"/>
        <v>TRAIL_12M_EBITDA</v>
      </c>
      <c r="D125" t="str">
        <f ca="1"/>
        <v>51.038000</v>
      </c>
      <c r="P125" t="s">
        <v>99</v>
      </c>
      <c r="R125" s="1"/>
    </row>
    <row r="126" spans="1:18" x14ac:dyDescent="0.25">
      <c r="A126" t="str">
        <f ca="1"/>
        <v>ONCO3 BZ Equity</v>
      </c>
      <c r="B126" t="str">
        <f ca="1"/>
        <v>2024-10-28</v>
      </c>
      <c r="C126" t="str">
        <f ca="1"/>
        <v>TRAIL_12M_EBITDA</v>
      </c>
      <c r="D126" t="str">
        <f ca="1"/>
        <v>1027.414000</v>
      </c>
      <c r="P126" t="s">
        <v>100</v>
      </c>
      <c r="R126" s="1"/>
    </row>
    <row r="127" spans="1:18" x14ac:dyDescent="0.25">
      <c r="A127" t="str">
        <f ca="1"/>
        <v>NEOE3 BZ Equity</v>
      </c>
      <c r="B127" t="str">
        <f ca="1"/>
        <v>2024-10-28</v>
      </c>
      <c r="C127" t="str">
        <f ca="1"/>
        <v>TRAIL_12M_EBITDA</v>
      </c>
      <c r="D127" t="str">
        <f ca="1"/>
        <v>12337.000000</v>
      </c>
      <c r="P127" t="s">
        <v>140</v>
      </c>
      <c r="R127" s="1"/>
    </row>
    <row r="128" spans="1:18" x14ac:dyDescent="0.25">
      <c r="A128" t="str">
        <f ca="1"/>
        <v>PCAR3 BZ Equity</v>
      </c>
      <c r="B128" t="str">
        <f ca="1"/>
        <v>2024-10-28</v>
      </c>
      <c r="C128" t="str">
        <f ca="1"/>
        <v>TRAIL_12M_EBITDA</v>
      </c>
      <c r="D128" t="str">
        <f ca="1"/>
        <v>1019.000000</v>
      </c>
      <c r="P128" t="s">
        <v>101</v>
      </c>
      <c r="R128" s="1"/>
    </row>
    <row r="129" spans="1:18" x14ac:dyDescent="0.25">
      <c r="A129" t="str">
        <f ca="1"/>
        <v>TOTS3 BZ Equity</v>
      </c>
      <c r="B129" t="str">
        <f ca="1"/>
        <v>2024-10-28</v>
      </c>
      <c r="C129" t="str">
        <f ca="1"/>
        <v>TRAIL_12M_EBITDA</v>
      </c>
      <c r="D129" t="str">
        <f ca="1"/>
        <v>1014.327000</v>
      </c>
      <c r="P129" t="s">
        <v>102</v>
      </c>
      <c r="R129" s="1"/>
    </row>
    <row r="130" spans="1:18" x14ac:dyDescent="0.25">
      <c r="A130" t="str">
        <f ca="1"/>
        <v>AZUL4 BZ Equity</v>
      </c>
      <c r="B130" t="str">
        <f ca="1"/>
        <v>2024-10-28</v>
      </c>
      <c r="C130" t="str">
        <f ca="1"/>
        <v>TRAIL_12M_EBITDA</v>
      </c>
      <c r="D130" t="str">
        <f ca="1"/>
        <v>4957.769000</v>
      </c>
      <c r="P130" t="s">
        <v>166</v>
      </c>
      <c r="R130" s="1"/>
    </row>
    <row r="131" spans="1:18" x14ac:dyDescent="0.25">
      <c r="A131" t="str">
        <f ca="1"/>
        <v>CPLE6 BZ Equity</v>
      </c>
      <c r="B131" t="str">
        <f ca="1"/>
        <v>2024-10-28</v>
      </c>
      <c r="C131" t="str">
        <f ca="1"/>
        <v>TRAIL_12M_EBITDA</v>
      </c>
      <c r="D131" t="str">
        <f ca="1"/>
        <v>4728.911000</v>
      </c>
      <c r="P131" t="s">
        <v>103</v>
      </c>
      <c r="R131" s="1"/>
    </row>
    <row r="132" spans="1:18" x14ac:dyDescent="0.25">
      <c r="A132" t="str">
        <f ca="1"/>
        <v>HBSA3 BZ Equity</v>
      </c>
      <c r="B132" t="str">
        <f ca="1"/>
        <v>2024-10-28</v>
      </c>
      <c r="C132" t="str">
        <f ca="1"/>
        <v>TRAIL_12M_EBITDA</v>
      </c>
      <c r="D132" t="str">
        <f ca="1"/>
        <v>383.919000</v>
      </c>
      <c r="P132" t="s">
        <v>104</v>
      </c>
      <c r="R132" s="1"/>
    </row>
    <row r="133" spans="1:18" x14ac:dyDescent="0.25">
      <c r="A133" t="str">
        <f ca="1"/>
        <v>TAEE11 BZ Equity</v>
      </c>
      <c r="B133" t="str">
        <f ca="1"/>
        <v>2024-10-28</v>
      </c>
      <c r="C133" t="str">
        <f ca="1"/>
        <v>TRAIL_12M_EBITDA</v>
      </c>
      <c r="D133" t="str">
        <f ca="1"/>
        <v>2062.249000</v>
      </c>
      <c r="P133" t="s">
        <v>141</v>
      </c>
      <c r="R133" s="1"/>
    </row>
    <row r="134" spans="1:18" x14ac:dyDescent="0.25">
      <c r="A134" t="str">
        <f ca="1"/>
        <v>CSUD3 BZ Equity</v>
      </c>
      <c r="B134" t="str">
        <f ca="1"/>
        <v>2024-10-28</v>
      </c>
      <c r="C134" t="str">
        <f ca="1"/>
        <v>TRAIL_12M_EBITDA</v>
      </c>
      <c r="D134" t="str">
        <f ca="1"/>
        <v>191.515000</v>
      </c>
      <c r="P134" t="s">
        <v>105</v>
      </c>
      <c r="R134" s="1"/>
    </row>
    <row r="135" spans="1:18" x14ac:dyDescent="0.25">
      <c r="A135" t="str">
        <f ca="1"/>
        <v>WEGE3 BZ Equity</v>
      </c>
      <c r="B135" t="str">
        <f ca="1"/>
        <v>2024-10-28</v>
      </c>
      <c r="C135" t="str">
        <f ca="1"/>
        <v>TRAIL_12M_EBITDA</v>
      </c>
      <c r="D135" t="str">
        <f ca="1"/>
        <v>7459.725000</v>
      </c>
      <c r="P135" t="s">
        <v>106</v>
      </c>
      <c r="R135" s="1"/>
    </row>
    <row r="136" spans="1:18" x14ac:dyDescent="0.25">
      <c r="A136" t="str">
        <f ca="1"/>
        <v>CMIG4 BZ Equity</v>
      </c>
      <c r="B136" t="str">
        <f ca="1"/>
        <v>2024-10-28</v>
      </c>
      <c r="C136" t="str">
        <f ca="1"/>
        <v>TRAIL_12M_EBITDA</v>
      </c>
      <c r="D136" t="str">
        <f ca="1"/>
        <v>8505.091000</v>
      </c>
      <c r="P136" t="s">
        <v>107</v>
      </c>
      <c r="R136" s="1"/>
    </row>
    <row r="137" spans="1:18" x14ac:dyDescent="0.25">
      <c r="A137" t="str">
        <f ca="1"/>
        <v>SCAR3 BZ Equity</v>
      </c>
      <c r="B137" t="str">
        <f ca="1"/>
        <v>2024-10-28</v>
      </c>
      <c r="C137" t="str">
        <f ca="1"/>
        <v>TRAIL_12M_EBITDA</v>
      </c>
      <c r="D137" t="str">
        <f ca="1"/>
        <v>466.686000</v>
      </c>
      <c r="P137" t="s">
        <v>167</v>
      </c>
      <c r="R137" s="1"/>
    </row>
    <row r="138" spans="1:18" x14ac:dyDescent="0.25">
      <c r="A138" t="str">
        <f ca="1"/>
        <v>VVEO3 BZ Equity</v>
      </c>
      <c r="B138" t="str">
        <f ca="1"/>
        <v>2024-10-28</v>
      </c>
      <c r="C138" t="str">
        <f ca="1"/>
        <v>TRAIL_12M_EBITDA</v>
      </c>
      <c r="D138" t="str">
        <f ca="1"/>
        <v>674.232000</v>
      </c>
      <c r="P138" t="s">
        <v>168</v>
      </c>
      <c r="R138" s="1"/>
    </row>
    <row r="139" spans="1:18" x14ac:dyDescent="0.25">
      <c r="A139" t="str">
        <f ca="1"/>
        <v>PETZ3 BZ Equity</v>
      </c>
      <c r="B139" t="str">
        <f ca="1"/>
        <v>2024-10-28</v>
      </c>
      <c r="C139" t="str">
        <f ca="1"/>
        <v>TRAIL_12M_EBITDA</v>
      </c>
      <c r="D139" t="str">
        <f ca="1"/>
        <v>390.314000</v>
      </c>
      <c r="P139" t="s">
        <v>142</v>
      </c>
      <c r="R139" s="1"/>
    </row>
    <row r="140" spans="1:18" x14ac:dyDescent="0.25">
      <c r="A140" t="str">
        <f ca="1"/>
        <v>VULC3 BZ Equity</v>
      </c>
      <c r="B140" t="str">
        <f ca="1"/>
        <v>2024-10-28</v>
      </c>
      <c r="C140" t="str">
        <f ca="1"/>
        <v>TRAIL_12M_EBITDA</v>
      </c>
      <c r="D140" t="str">
        <f ca="1"/>
        <v>652.625000</v>
      </c>
      <c r="P140" t="s">
        <v>169</v>
      </c>
      <c r="R140" s="1"/>
    </row>
    <row r="141" spans="1:18" x14ac:dyDescent="0.25">
      <c r="A141" t="str">
        <f ca="1"/>
        <v>CLSC4 BZ Equity</v>
      </c>
      <c r="B141" t="str">
        <f ca="1"/>
        <v>2024-10-28</v>
      </c>
      <c r="C141" t="str">
        <f ca="1"/>
        <v>TRAIL_12M_EBITDA</v>
      </c>
      <c r="D141" t="str">
        <f ca="1"/>
        <v>1249.557000</v>
      </c>
      <c r="P141" t="s">
        <v>108</v>
      </c>
      <c r="R141" s="1"/>
    </row>
    <row r="142" spans="1:18" x14ac:dyDescent="0.25">
      <c r="A142" t="str">
        <f ca="1"/>
        <v>EUCA4 BZ Equity</v>
      </c>
      <c r="B142" t="str">
        <f ca="1"/>
        <v>2024-10-28</v>
      </c>
      <c r="C142" t="str">
        <f ca="1"/>
        <v>TRAIL_12M_EBITDA</v>
      </c>
      <c r="D142" t="str">
        <f ca="1"/>
        <v>514.340000</v>
      </c>
      <c r="P142" t="s">
        <v>109</v>
      </c>
      <c r="R142" s="1"/>
    </row>
    <row r="143" spans="1:18" x14ac:dyDescent="0.25">
      <c r="A143" t="str">
        <f ca="1"/>
        <v>LPSB3 BZ Equity</v>
      </c>
      <c r="B143" t="str">
        <f ca="1"/>
        <v>2024-10-28</v>
      </c>
      <c r="C143" t="str">
        <f ca="1"/>
        <v>TRAIL_12M_EBITDA</v>
      </c>
      <c r="D143" t="str">
        <f ca="1"/>
        <v>57.916000</v>
      </c>
      <c r="P143" t="s">
        <v>170</v>
      </c>
      <c r="R143" s="1"/>
    </row>
    <row r="144" spans="1:18" x14ac:dyDescent="0.25">
      <c r="A144" t="str">
        <f ca="1"/>
        <v>CEAB3 BZ Equity</v>
      </c>
      <c r="B144" t="str">
        <f ca="1"/>
        <v>2024-10-28</v>
      </c>
      <c r="C144" t="str">
        <f ca="1"/>
        <v>TRAIL_12M_EBITDA</v>
      </c>
      <c r="D144" t="str">
        <f ca="1"/>
        <v>1393.106000</v>
      </c>
      <c r="P144" t="s">
        <v>171</v>
      </c>
      <c r="R144" s="1"/>
    </row>
    <row r="145" spans="1:18" x14ac:dyDescent="0.25">
      <c r="A145" t="str">
        <f ca="1"/>
        <v>ODPV3 BZ Equity</v>
      </c>
      <c r="B145" t="str">
        <f ca="1"/>
        <v>2024-10-28</v>
      </c>
      <c r="C145" t="str">
        <f ca="1"/>
        <v>TRAIL_12M_EBITDA</v>
      </c>
      <c r="D145" t="str">
        <f ca="1"/>
        <v>711.830000</v>
      </c>
      <c r="P145" t="s">
        <v>110</v>
      </c>
      <c r="R145" s="1"/>
    </row>
    <row r="146" spans="1:18" x14ac:dyDescent="0.25">
      <c r="A146" t="str">
        <f ca="1"/>
        <v>ALPA4 BZ Equity</v>
      </c>
      <c r="B146" t="str">
        <f ca="1"/>
        <v>2024-10-28</v>
      </c>
      <c r="C146" t="str">
        <f ca="1"/>
        <v>TRAIL_12M_EBITDA</v>
      </c>
      <c r="D146" t="str">
        <f ca="1"/>
        <v>-978.352000</v>
      </c>
      <c r="P146" t="s">
        <v>111</v>
      </c>
      <c r="R146" s="1"/>
    </row>
    <row r="147" spans="1:18" x14ac:dyDescent="0.25">
      <c r="A147" t="str">
        <f ca="1"/>
        <v>GMAT3 BZ Equity</v>
      </c>
      <c r="B147" t="str">
        <f ca="1"/>
        <v>2024-10-28</v>
      </c>
      <c r="C147" t="str">
        <f ca="1"/>
        <v>TRAIL_12M_EBITDA</v>
      </c>
      <c r="D147" t="str">
        <f ca="1"/>
        <v>2234.937000</v>
      </c>
      <c r="P147" t="s">
        <v>41</v>
      </c>
      <c r="R147" s="1"/>
    </row>
    <row r="148" spans="1:18" x14ac:dyDescent="0.25">
      <c r="A148" t="str">
        <f ca="1"/>
        <v>TEND3 BZ Equity</v>
      </c>
      <c r="B148" t="str">
        <f ca="1"/>
        <v>2024-10-28</v>
      </c>
      <c r="C148" t="str">
        <f ca="1"/>
        <v>TRAIL_12M_EBITDA</v>
      </c>
      <c r="D148" t="str">
        <f ca="1"/>
        <v>219.661000</v>
      </c>
      <c r="P148" t="s">
        <v>112</v>
      </c>
      <c r="R148" s="1"/>
    </row>
    <row r="149" spans="1:18" x14ac:dyDescent="0.25">
      <c r="A149" t="str">
        <f ca="1"/>
        <v>RANI3 BZ Equity</v>
      </c>
      <c r="B149" t="str">
        <f ca="1"/>
        <v>2024-10-28</v>
      </c>
      <c r="C149" t="str">
        <f ca="1"/>
        <v>TRAIL_12M_EBITDA</v>
      </c>
      <c r="D149" t="str">
        <f ca="1"/>
        <v>473.623000</v>
      </c>
      <c r="P149" t="s">
        <v>113</v>
      </c>
      <c r="R149" s="1"/>
    </row>
    <row r="150" spans="1:18" x14ac:dyDescent="0.25">
      <c r="A150" t="str">
        <f ca="1"/>
        <v>RECV3 BZ Equity</v>
      </c>
      <c r="B150" t="str">
        <f ca="1"/>
        <v>2024-10-28</v>
      </c>
      <c r="C150" t="str">
        <f ca="1"/>
        <v>TRAIL_12M_EBITDA</v>
      </c>
      <c r="D150" t="str">
        <f ca="1"/>
        <v>1424.737000</v>
      </c>
      <c r="P150" t="s">
        <v>172</v>
      </c>
      <c r="R150" s="1"/>
    </row>
    <row r="151" spans="1:18" x14ac:dyDescent="0.25">
      <c r="A151" t="str">
        <f ca="1"/>
        <v>LWSA3 BZ Equity</v>
      </c>
      <c r="B151" t="str">
        <f ca="1"/>
        <v>2024-10-28</v>
      </c>
      <c r="C151" t="str">
        <f ca="1"/>
        <v>TRAIL_12M_EBITDA</v>
      </c>
      <c r="D151" t="str">
        <f ca="1"/>
        <v>220.118000</v>
      </c>
      <c r="P151" t="s">
        <v>114</v>
      </c>
      <c r="R151" s="1"/>
    </row>
    <row r="152" spans="1:18" x14ac:dyDescent="0.25">
      <c r="A152" t="str">
        <f ca="1"/>
        <v>TCSA3 BZ Equity</v>
      </c>
      <c r="B152" t="str">
        <f ca="1"/>
        <v>2024-10-28</v>
      </c>
      <c r="C152" t="str">
        <f ca="1"/>
        <v>TRAIL_12M_EBITDA</v>
      </c>
      <c r="D152" t="str">
        <f ca="1"/>
        <v>-92.871000</v>
      </c>
      <c r="P152" t="s">
        <v>115</v>
      </c>
      <c r="R152" s="1"/>
    </row>
    <row r="153" spans="1:18" x14ac:dyDescent="0.25">
      <c r="A153" t="str">
        <f ca="1"/>
        <v>CSMG3 BZ Equity</v>
      </c>
      <c r="B153" t="str">
        <f ca="1"/>
        <v>2024-10-28</v>
      </c>
      <c r="C153" t="str">
        <f ca="1"/>
        <v>TRAIL_12M_EBITDA</v>
      </c>
      <c r="D153" t="str">
        <f ca="1"/>
        <v>2797.777000</v>
      </c>
      <c r="P153" t="s">
        <v>173</v>
      </c>
      <c r="R153" s="1"/>
    </row>
    <row r="154" spans="1:18" x14ac:dyDescent="0.25">
      <c r="A154" t="str">
        <f ca="1"/>
        <v>DMVF3 BZ Equity</v>
      </c>
      <c r="B154" t="str">
        <f ca="1"/>
        <v>2024-10-28</v>
      </c>
      <c r="C154" t="str">
        <f ca="1"/>
        <v>TRAIL_12M_EBITDA</v>
      </c>
      <c r="D154" t="str">
        <f ca="1"/>
        <v>171.382000</v>
      </c>
      <c r="P154" t="s">
        <v>116</v>
      </c>
      <c r="R154" s="1"/>
    </row>
    <row r="155" spans="1:18" x14ac:dyDescent="0.25">
      <c r="A155" t="str">
        <f ca="1"/>
        <v>SOJA3 BZ Equity</v>
      </c>
      <c r="B155" t="str">
        <f ca="1"/>
        <v>2024-10-28</v>
      </c>
      <c r="C155" t="str">
        <f ca="1"/>
        <v>TRAIL_12M_EBITDA</v>
      </c>
      <c r="D155" t="str">
        <f ca="1"/>
        <v>255.135000</v>
      </c>
      <c r="P155" t="s">
        <v>117</v>
      </c>
      <c r="R155" s="1"/>
    </row>
    <row r="156" spans="1:18" x14ac:dyDescent="0.25">
      <c r="A156" t="str">
        <f ca="1"/>
        <v>TECN3 BZ Equity</v>
      </c>
      <c r="B156" t="str">
        <f ca="1"/>
        <v>2024-10-28</v>
      </c>
      <c r="C156" t="str">
        <f ca="1"/>
        <v>TRAIL_12M_EBITDA</v>
      </c>
      <c r="D156" t="str">
        <f ca="1"/>
        <v>74.474000</v>
      </c>
      <c r="P156" t="s">
        <v>118</v>
      </c>
      <c r="R156" s="1"/>
    </row>
    <row r="157" spans="1:18" x14ac:dyDescent="0.25">
      <c r="A157" t="str">
        <f ca="1"/>
        <v>ANIM3 BZ Equity</v>
      </c>
      <c r="B157" t="str">
        <f ca="1"/>
        <v>2024-10-28</v>
      </c>
      <c r="C157" t="str">
        <f ca="1"/>
        <v>TRAIL_12M_EBITDA</v>
      </c>
      <c r="D157" t="str">
        <f ca="1"/>
        <v>1217.093000</v>
      </c>
      <c r="P157" t="s">
        <v>90</v>
      </c>
      <c r="R157" s="1"/>
    </row>
    <row r="158" spans="1:18" x14ac:dyDescent="0.25">
      <c r="A158" t="str">
        <f ca="1"/>
        <v>VIVA3 BZ Equity</v>
      </c>
      <c r="B158" t="str">
        <f ca="1"/>
        <v>2024-10-28</v>
      </c>
      <c r="C158" t="str">
        <f ca="1"/>
        <v>TRAIL_12M_EBITDA</v>
      </c>
      <c r="D158" t="str">
        <f ca="1"/>
        <v>691.141400</v>
      </c>
      <c r="P158" t="s">
        <v>119</v>
      </c>
      <c r="R158" s="1"/>
    </row>
    <row r="159" spans="1:18" x14ac:dyDescent="0.25">
      <c r="A159" t="str">
        <f ca="1"/>
        <v>IGTI3 BZ Equity</v>
      </c>
      <c r="B159" t="str">
        <f ca="1"/>
        <v>2024-10-28</v>
      </c>
      <c r="C159" t="str">
        <f ca="1"/>
        <v>TRAIL_12M_EBITDA</v>
      </c>
      <c r="D159" t="str">
        <f ca="1"/>
        <v>881.121000</v>
      </c>
      <c r="P159" t="s">
        <v>174</v>
      </c>
      <c r="R159" s="1"/>
    </row>
    <row r="160" spans="1:18" x14ac:dyDescent="0.25">
      <c r="A160" t="str">
        <f ca="1"/>
        <v>HBOR3 BZ Equity</v>
      </c>
      <c r="B160" t="str">
        <f ca="1"/>
        <v>2024-10-28</v>
      </c>
      <c r="C160" t="str">
        <f ca="1"/>
        <v>TRAIL_12M_EBITDA</v>
      </c>
      <c r="D160" t="str">
        <f ca="1"/>
        <v>237.284000</v>
      </c>
      <c r="P160" t="s">
        <v>120</v>
      </c>
      <c r="R160" s="1"/>
    </row>
    <row r="161" spans="16:18" x14ac:dyDescent="0.25">
      <c r="P161" t="s">
        <v>121</v>
      </c>
      <c r="R161" s="1"/>
    </row>
    <row r="162" spans="16:18" x14ac:dyDescent="0.25">
      <c r="P162" t="s">
        <v>122</v>
      </c>
      <c r="R162" s="1"/>
    </row>
    <row r="163" spans="16:18" x14ac:dyDescent="0.25">
      <c r="P163" t="s">
        <v>123</v>
      </c>
      <c r="R163" s="1"/>
    </row>
    <row r="164" spans="16:18" x14ac:dyDescent="0.25">
      <c r="P164" t="s">
        <v>124</v>
      </c>
      <c r="R164" s="1"/>
    </row>
    <row r="165" spans="16:18" x14ac:dyDescent="0.25">
      <c r="P165" t="s">
        <v>125</v>
      </c>
      <c r="R165" s="1"/>
    </row>
    <row r="166" spans="16:18" x14ac:dyDescent="0.25">
      <c r="P166" t="s">
        <v>78</v>
      </c>
      <c r="R166" s="1"/>
    </row>
    <row r="167" spans="16:18" x14ac:dyDescent="0.25">
      <c r="P167" t="s">
        <v>126</v>
      </c>
      <c r="R167" s="1"/>
    </row>
    <row r="168" spans="16:18" x14ac:dyDescent="0.25">
      <c r="P168" t="s">
        <v>136</v>
      </c>
      <c r="R168" s="1"/>
    </row>
    <row r="169" spans="16:18" x14ac:dyDescent="0.25">
      <c r="P169" t="s">
        <v>175</v>
      </c>
      <c r="R169" s="1"/>
    </row>
    <row r="170" spans="16:18" x14ac:dyDescent="0.25">
      <c r="P170" t="s">
        <v>127</v>
      </c>
      <c r="R170" s="1"/>
    </row>
    <row r="171" spans="16:18" x14ac:dyDescent="0.25">
      <c r="P171" t="s">
        <v>128</v>
      </c>
      <c r="R171" s="1"/>
    </row>
    <row r="172" spans="16:18" x14ac:dyDescent="0.25">
      <c r="P172" t="s">
        <v>176</v>
      </c>
      <c r="R172" s="1"/>
    </row>
    <row r="173" spans="16:18" x14ac:dyDescent="0.25">
      <c r="P173" t="s">
        <v>177</v>
      </c>
      <c r="R173" s="1"/>
    </row>
    <row r="174" spans="16:18" x14ac:dyDescent="0.25">
      <c r="P174" t="s">
        <v>129</v>
      </c>
      <c r="R174" s="1"/>
    </row>
    <row r="175" spans="16:18" x14ac:dyDescent="0.25">
      <c r="P175" t="s">
        <v>130</v>
      </c>
      <c r="R175" s="1"/>
    </row>
    <row r="176" spans="16:18" x14ac:dyDescent="0.25">
      <c r="P176" t="s">
        <v>131</v>
      </c>
      <c r="R176" s="1"/>
    </row>
    <row r="177" spans="16:18" x14ac:dyDescent="0.25">
      <c r="P177" t="s">
        <v>132</v>
      </c>
      <c r="R177" s="1"/>
    </row>
    <row r="178" spans="16:18" x14ac:dyDescent="0.25">
      <c r="P178" t="s">
        <v>133</v>
      </c>
      <c r="R178" s="1"/>
    </row>
    <row r="179" spans="16:18" x14ac:dyDescent="0.25">
      <c r="P179" t="s">
        <v>178</v>
      </c>
      <c r="R179" s="1"/>
    </row>
    <row r="180" spans="16:18" x14ac:dyDescent="0.25">
      <c r="P180" t="s">
        <v>134</v>
      </c>
      <c r="R180" s="1"/>
    </row>
    <row r="181" spans="16:18" x14ac:dyDescent="0.25">
      <c r="P181" t="s">
        <v>135</v>
      </c>
      <c r="R181" s="1"/>
    </row>
    <row r="182" spans="16:18" x14ac:dyDescent="0.25">
      <c r="R182" s="1"/>
    </row>
    <row r="183" spans="16:18" x14ac:dyDescent="0.25">
      <c r="R183" s="1"/>
    </row>
    <row r="184" spans="16:18" x14ac:dyDescent="0.25">
      <c r="R184" s="1"/>
    </row>
    <row r="185" spans="16:18" x14ac:dyDescent="0.25">
      <c r="R185" s="1"/>
    </row>
    <row r="186" spans="16:18" x14ac:dyDescent="0.25">
      <c r="R186" s="1"/>
    </row>
    <row r="187" spans="16:18" x14ac:dyDescent="0.25">
      <c r="R187" s="1"/>
    </row>
    <row r="188" spans="16:18" x14ac:dyDescent="0.25">
      <c r="R188" s="1"/>
    </row>
    <row r="189" spans="16:18" x14ac:dyDescent="0.25">
      <c r="R189" s="1"/>
    </row>
    <row r="190" spans="16:18" x14ac:dyDescent="0.25">
      <c r="R190" s="1"/>
    </row>
    <row r="191" spans="16:18" x14ac:dyDescent="0.25">
      <c r="R191" s="1"/>
    </row>
    <row r="192" spans="16:18" x14ac:dyDescent="0.25">
      <c r="R192" s="1"/>
    </row>
    <row r="193" spans="18:18" x14ac:dyDescent="0.25">
      <c r="R193" s="1"/>
    </row>
    <row r="194" spans="18:18" x14ac:dyDescent="0.25">
      <c r="R194" s="1"/>
    </row>
    <row r="195" spans="18:18" x14ac:dyDescent="0.25">
      <c r="R195" s="1"/>
    </row>
    <row r="196" spans="18:18" x14ac:dyDescent="0.25">
      <c r="R196" s="1"/>
    </row>
    <row r="197" spans="18:18" x14ac:dyDescent="0.25">
      <c r="R197" s="1"/>
    </row>
    <row r="198" spans="18:18" x14ac:dyDescent="0.25">
      <c r="R198" s="1"/>
    </row>
    <row r="199" spans="18:18" x14ac:dyDescent="0.25">
      <c r="R199" s="1"/>
    </row>
    <row r="200" spans="18:18" x14ac:dyDescent="0.25">
      <c r="R200" s="1"/>
    </row>
    <row r="201" spans="18:18" x14ac:dyDescent="0.25">
      <c r="R201" s="1"/>
    </row>
    <row r="202" spans="18:18" x14ac:dyDescent="0.25">
      <c r="R202" s="1"/>
    </row>
    <row r="203" spans="18:18" x14ac:dyDescent="0.25">
      <c r="R203" s="1"/>
    </row>
    <row r="204" spans="18:18" x14ac:dyDescent="0.25">
      <c r="R204" s="1"/>
    </row>
    <row r="205" spans="18:18" x14ac:dyDescent="0.25">
      <c r="R205" s="1"/>
    </row>
    <row r="206" spans="18:18" x14ac:dyDescent="0.25">
      <c r="R206" s="1"/>
    </row>
    <row r="207" spans="18:18" x14ac:dyDescent="0.25">
      <c r="R207" s="1"/>
    </row>
    <row r="208" spans="18:18" x14ac:dyDescent="0.25">
      <c r="R208" s="1"/>
    </row>
    <row r="209" spans="18:18" x14ac:dyDescent="0.25">
      <c r="R209" s="1"/>
    </row>
    <row r="210" spans="18:18" x14ac:dyDescent="0.25">
      <c r="R210" s="1"/>
    </row>
    <row r="211" spans="18:18" x14ac:dyDescent="0.25">
      <c r="R211" s="1"/>
    </row>
    <row r="212" spans="18:18" x14ac:dyDescent="0.25">
      <c r="R212" s="1"/>
    </row>
    <row r="213" spans="18:18" x14ac:dyDescent="0.25">
      <c r="R213" s="1"/>
    </row>
    <row r="214" spans="18:18" x14ac:dyDescent="0.25">
      <c r="R214" s="1"/>
    </row>
    <row r="215" spans="18:18" x14ac:dyDescent="0.25">
      <c r="R215" s="1"/>
    </row>
    <row r="216" spans="18:18" x14ac:dyDescent="0.25">
      <c r="R216" s="1"/>
    </row>
    <row r="217" spans="18:18" x14ac:dyDescent="0.25">
      <c r="R217" s="1"/>
    </row>
    <row r="218" spans="18:18" x14ac:dyDescent="0.25">
      <c r="R218" s="1"/>
    </row>
    <row r="219" spans="18:18" x14ac:dyDescent="0.25">
      <c r="R219" s="1"/>
    </row>
    <row r="220" spans="18:18" x14ac:dyDescent="0.25">
      <c r="R220" s="1"/>
    </row>
    <row r="221" spans="18:18" x14ac:dyDescent="0.25">
      <c r="R221" s="1"/>
    </row>
    <row r="222" spans="18:18" x14ac:dyDescent="0.25">
      <c r="R222" s="1"/>
    </row>
    <row r="223" spans="18:18" x14ac:dyDescent="0.25">
      <c r="R223" s="1"/>
    </row>
    <row r="224" spans="18:18" x14ac:dyDescent="0.25">
      <c r="R224" s="1"/>
    </row>
    <row r="225" spans="18:18" x14ac:dyDescent="0.25">
      <c r="R225" s="1"/>
    </row>
    <row r="226" spans="18:18" x14ac:dyDescent="0.25">
      <c r="R226" s="1"/>
    </row>
    <row r="227" spans="18:18" x14ac:dyDescent="0.25">
      <c r="R227" s="1"/>
    </row>
    <row r="228" spans="18:18" x14ac:dyDescent="0.25">
      <c r="R228" s="1"/>
    </row>
    <row r="229" spans="18:18" x14ac:dyDescent="0.25">
      <c r="R229" s="1"/>
    </row>
    <row r="230" spans="18:18" x14ac:dyDescent="0.25">
      <c r="R230" s="1"/>
    </row>
    <row r="231" spans="18:18" x14ac:dyDescent="0.25">
      <c r="R231" s="1"/>
    </row>
    <row r="232" spans="18:18" x14ac:dyDescent="0.25">
      <c r="R232" s="1"/>
    </row>
    <row r="233" spans="18:18" x14ac:dyDescent="0.25">
      <c r="R233" s="1"/>
    </row>
    <row r="234" spans="18:18" x14ac:dyDescent="0.25">
      <c r="R234" s="1"/>
    </row>
    <row r="235" spans="18:18" x14ac:dyDescent="0.25">
      <c r="R235" s="1"/>
    </row>
    <row r="236" spans="18:18" x14ac:dyDescent="0.25">
      <c r="R236" s="1"/>
    </row>
    <row r="237" spans="18:18" x14ac:dyDescent="0.25">
      <c r="R237" s="1"/>
    </row>
    <row r="238" spans="18:18" x14ac:dyDescent="0.25">
      <c r="R238" s="1"/>
    </row>
    <row r="239" spans="18:18" x14ac:dyDescent="0.25">
      <c r="R239" s="1"/>
    </row>
    <row r="240" spans="18:18" x14ac:dyDescent="0.25">
      <c r="R240" s="1"/>
    </row>
    <row r="241" spans="18:18" x14ac:dyDescent="0.25">
      <c r="R241" s="1"/>
    </row>
    <row r="242" spans="18:18" x14ac:dyDescent="0.25">
      <c r="R242" s="1"/>
    </row>
    <row r="243" spans="18:18" x14ac:dyDescent="0.25">
      <c r="R243" s="1"/>
    </row>
    <row r="244" spans="18:18" x14ac:dyDescent="0.25">
      <c r="R244" s="1"/>
    </row>
    <row r="245" spans="18:18" x14ac:dyDescent="0.25">
      <c r="R245" s="1"/>
    </row>
    <row r="246" spans="18:18" x14ac:dyDescent="0.25">
      <c r="R246" s="1"/>
    </row>
    <row r="247" spans="18:18" x14ac:dyDescent="0.25">
      <c r="R247" s="1"/>
    </row>
    <row r="248" spans="18:18" x14ac:dyDescent="0.25">
      <c r="R248" s="1"/>
    </row>
    <row r="249" spans="18:18" x14ac:dyDescent="0.25">
      <c r="R249" s="1"/>
    </row>
    <row r="250" spans="18:18" x14ac:dyDescent="0.25">
      <c r="R250" s="1"/>
    </row>
    <row r="251" spans="18:18" x14ac:dyDescent="0.25">
      <c r="R251" s="1"/>
    </row>
    <row r="252" spans="18:18" x14ac:dyDescent="0.25">
      <c r="R252" s="1"/>
    </row>
    <row r="253" spans="18:18" x14ac:dyDescent="0.25">
      <c r="R253" s="1"/>
    </row>
    <row r="254" spans="18:18" x14ac:dyDescent="0.25">
      <c r="R254" s="1"/>
    </row>
    <row r="255" spans="18:18" x14ac:dyDescent="0.25">
      <c r="R255" s="1"/>
    </row>
    <row r="256" spans="18:18" x14ac:dyDescent="0.25">
      <c r="R256" s="1"/>
    </row>
    <row r="257" spans="18:18" x14ac:dyDescent="0.25">
      <c r="R257" s="1"/>
    </row>
    <row r="258" spans="18:18" x14ac:dyDescent="0.25">
      <c r="R258" s="1"/>
    </row>
    <row r="259" spans="18:18" x14ac:dyDescent="0.25">
      <c r="R259" s="1"/>
    </row>
    <row r="260" spans="18:18" x14ac:dyDescent="0.25">
      <c r="R260" s="1"/>
    </row>
    <row r="261" spans="18:18" x14ac:dyDescent="0.25">
      <c r="R261" s="1"/>
    </row>
    <row r="262" spans="18:18" x14ac:dyDescent="0.25">
      <c r="R262" s="1"/>
    </row>
    <row r="263" spans="18:18" x14ac:dyDescent="0.25">
      <c r="R263" s="1"/>
    </row>
    <row r="264" spans="18:18" x14ac:dyDescent="0.25">
      <c r="R264" s="1"/>
    </row>
    <row r="265" spans="18:18" x14ac:dyDescent="0.25">
      <c r="R265" s="1"/>
    </row>
    <row r="266" spans="18:18" x14ac:dyDescent="0.25">
      <c r="R266" s="1"/>
    </row>
    <row r="267" spans="18:18" x14ac:dyDescent="0.25">
      <c r="R267" s="1"/>
    </row>
    <row r="268" spans="18:18" x14ac:dyDescent="0.25">
      <c r="R268" s="1"/>
    </row>
    <row r="269" spans="18:18" x14ac:dyDescent="0.25">
      <c r="R269" s="1"/>
    </row>
    <row r="270" spans="18:18" x14ac:dyDescent="0.25">
      <c r="R270" s="1"/>
    </row>
    <row r="271" spans="18:18" x14ac:dyDescent="0.25">
      <c r="R271" s="1"/>
    </row>
    <row r="272" spans="18:18" x14ac:dyDescent="0.25">
      <c r="R272" s="1"/>
    </row>
    <row r="273" spans="18:18" x14ac:dyDescent="0.25">
      <c r="R273" s="1"/>
    </row>
    <row r="274" spans="18:18" x14ac:dyDescent="0.25">
      <c r="R274" s="1"/>
    </row>
    <row r="275" spans="18:18" x14ac:dyDescent="0.25">
      <c r="R275" s="1"/>
    </row>
    <row r="276" spans="18:18" x14ac:dyDescent="0.25">
      <c r="R276" s="1"/>
    </row>
    <row r="277" spans="18:18" x14ac:dyDescent="0.25">
      <c r="R277" s="1"/>
    </row>
    <row r="278" spans="18:18" x14ac:dyDescent="0.25">
      <c r="R278" s="1"/>
    </row>
    <row r="279" spans="18:18" x14ac:dyDescent="0.25">
      <c r="R279" s="1"/>
    </row>
    <row r="280" spans="18:18" x14ac:dyDescent="0.25">
      <c r="R280" s="1"/>
    </row>
    <row r="281" spans="18:18" x14ac:dyDescent="0.25">
      <c r="R281" s="1"/>
    </row>
    <row r="282" spans="18:18" x14ac:dyDescent="0.25">
      <c r="R282" s="1"/>
    </row>
    <row r="283" spans="18:18" x14ac:dyDescent="0.25">
      <c r="R283" s="1"/>
    </row>
    <row r="284" spans="18:18" x14ac:dyDescent="0.25">
      <c r="R284" s="1"/>
    </row>
    <row r="285" spans="18:18" x14ac:dyDescent="0.25">
      <c r="R285" s="1"/>
    </row>
    <row r="286" spans="18:18" x14ac:dyDescent="0.25">
      <c r="R286" s="1"/>
    </row>
    <row r="287" spans="18:18" x14ac:dyDescent="0.25">
      <c r="R287" s="1"/>
    </row>
    <row r="288" spans="18:18" x14ac:dyDescent="0.25">
      <c r="R288" s="1"/>
    </row>
    <row r="289" spans="18:18" x14ac:dyDescent="0.25">
      <c r="R289" s="1"/>
    </row>
    <row r="290" spans="18:18" x14ac:dyDescent="0.25">
      <c r="R290" s="1"/>
    </row>
    <row r="291" spans="18:18" x14ac:dyDescent="0.25">
      <c r="R291" s="1"/>
    </row>
    <row r="292" spans="18:18" x14ac:dyDescent="0.25">
      <c r="R292" s="1"/>
    </row>
    <row r="293" spans="18:18" x14ac:dyDescent="0.25">
      <c r="R293" s="1"/>
    </row>
    <row r="294" spans="18:18" x14ac:dyDescent="0.25">
      <c r="R294" s="1"/>
    </row>
    <row r="295" spans="18:18" x14ac:dyDescent="0.25">
      <c r="R295" s="1"/>
    </row>
    <row r="296" spans="18:18" x14ac:dyDescent="0.25">
      <c r="R296" s="1"/>
    </row>
    <row r="297" spans="18:18" x14ac:dyDescent="0.25">
      <c r="R297" s="1"/>
    </row>
    <row r="298" spans="18:18" x14ac:dyDescent="0.25">
      <c r="R298" s="1"/>
    </row>
    <row r="299" spans="18:18" x14ac:dyDescent="0.25">
      <c r="R299" s="1"/>
    </row>
    <row r="300" spans="18:18" x14ac:dyDescent="0.25">
      <c r="R300" s="1"/>
    </row>
    <row r="301" spans="18:18" x14ac:dyDescent="0.25">
      <c r="R301" s="1"/>
    </row>
    <row r="302" spans="18:18" x14ac:dyDescent="0.25">
      <c r="R302" s="1"/>
    </row>
    <row r="303" spans="18:18" x14ac:dyDescent="0.25">
      <c r="R303" s="1"/>
    </row>
    <row r="304" spans="18:18" x14ac:dyDescent="0.25">
      <c r="R304" s="1"/>
    </row>
    <row r="305" spans="18:18" x14ac:dyDescent="0.25">
      <c r="R305" s="1"/>
    </row>
    <row r="306" spans="18:18" x14ac:dyDescent="0.25">
      <c r="R306" s="1"/>
    </row>
    <row r="307" spans="18:18" x14ac:dyDescent="0.25">
      <c r="R307" s="1"/>
    </row>
    <row r="308" spans="18:18" x14ac:dyDescent="0.25">
      <c r="R308" s="1"/>
    </row>
    <row r="309" spans="18:18" x14ac:dyDescent="0.25">
      <c r="R309" s="1"/>
    </row>
    <row r="310" spans="18:18" x14ac:dyDescent="0.25">
      <c r="R310" s="1"/>
    </row>
    <row r="311" spans="18:18" x14ac:dyDescent="0.25">
      <c r="R311" s="1"/>
    </row>
    <row r="312" spans="18:18" x14ac:dyDescent="0.25">
      <c r="R312" s="1"/>
    </row>
    <row r="313" spans="18:18" x14ac:dyDescent="0.25">
      <c r="R313" s="1"/>
    </row>
    <row r="314" spans="18:18" x14ac:dyDescent="0.25">
      <c r="R314" s="1"/>
    </row>
    <row r="315" spans="18:18" x14ac:dyDescent="0.25">
      <c r="R315" s="1"/>
    </row>
    <row r="316" spans="18:18" x14ac:dyDescent="0.25">
      <c r="R316" s="1"/>
    </row>
    <row r="317" spans="18:18" x14ac:dyDescent="0.25">
      <c r="R317" s="1"/>
    </row>
    <row r="318" spans="18:18" x14ac:dyDescent="0.25">
      <c r="R318" s="1"/>
    </row>
    <row r="319" spans="18:18" x14ac:dyDescent="0.25">
      <c r="R319" s="1"/>
    </row>
    <row r="320" spans="18:18" x14ac:dyDescent="0.25">
      <c r="R320" s="1"/>
    </row>
    <row r="321" spans="18:18" x14ac:dyDescent="0.25">
      <c r="R321" s="1"/>
    </row>
    <row r="322" spans="18:18" x14ac:dyDescent="0.25">
      <c r="R322" s="1"/>
    </row>
    <row r="323" spans="18:18" x14ac:dyDescent="0.25">
      <c r="R323" s="1"/>
    </row>
    <row r="324" spans="18:18" x14ac:dyDescent="0.25">
      <c r="R324" s="1"/>
    </row>
    <row r="325" spans="18:18" x14ac:dyDescent="0.25">
      <c r="R325" s="1"/>
    </row>
    <row r="326" spans="18:18" x14ac:dyDescent="0.25">
      <c r="R326" s="1"/>
    </row>
    <row r="327" spans="18:18" x14ac:dyDescent="0.25">
      <c r="R327" s="1"/>
    </row>
    <row r="328" spans="18:18" x14ac:dyDescent="0.25">
      <c r="R328" s="1"/>
    </row>
    <row r="329" spans="18:18" x14ac:dyDescent="0.25">
      <c r="R329" s="1"/>
    </row>
    <row r="330" spans="18:18" x14ac:dyDescent="0.25">
      <c r="R330" s="1"/>
    </row>
    <row r="331" spans="18:18" x14ac:dyDescent="0.25">
      <c r="R331" s="1"/>
    </row>
    <row r="332" spans="18:18" x14ac:dyDescent="0.25">
      <c r="R332" s="1"/>
    </row>
    <row r="333" spans="18:18" x14ac:dyDescent="0.25">
      <c r="R333" s="1"/>
    </row>
    <row r="334" spans="18:18" x14ac:dyDescent="0.25">
      <c r="R334" s="1"/>
    </row>
    <row r="335" spans="18:18" x14ac:dyDescent="0.25">
      <c r="R335" s="1"/>
    </row>
    <row r="336" spans="18:18" x14ac:dyDescent="0.25">
      <c r="R336" s="1"/>
    </row>
    <row r="337" spans="18:18" x14ac:dyDescent="0.25">
      <c r="R337" s="1"/>
    </row>
    <row r="338" spans="18:18" x14ac:dyDescent="0.25">
      <c r="R338" s="1"/>
    </row>
    <row r="339" spans="18:18" x14ac:dyDescent="0.25">
      <c r="R339" s="1"/>
    </row>
    <row r="340" spans="18:18" x14ac:dyDescent="0.25">
      <c r="R340" s="1"/>
    </row>
    <row r="341" spans="18:18" x14ac:dyDescent="0.25">
      <c r="R341" s="1"/>
    </row>
    <row r="342" spans="18:18" x14ac:dyDescent="0.25">
      <c r="R342" s="1"/>
    </row>
    <row r="343" spans="18:18" x14ac:dyDescent="0.25">
      <c r="R343" s="1"/>
    </row>
    <row r="344" spans="18:18" x14ac:dyDescent="0.25">
      <c r="R344" s="1"/>
    </row>
    <row r="345" spans="18:18" x14ac:dyDescent="0.25">
      <c r="R345" s="1"/>
    </row>
    <row r="346" spans="18:18" x14ac:dyDescent="0.25">
      <c r="R346" s="1"/>
    </row>
    <row r="347" spans="18:18" x14ac:dyDescent="0.25">
      <c r="R347" s="1"/>
    </row>
    <row r="348" spans="18:18" x14ac:dyDescent="0.25">
      <c r="R348" s="1"/>
    </row>
    <row r="349" spans="18:18" x14ac:dyDescent="0.25">
      <c r="R349" s="1"/>
    </row>
    <row r="350" spans="18:18" x14ac:dyDescent="0.25">
      <c r="R350" s="1"/>
    </row>
    <row r="351" spans="18:18" x14ac:dyDescent="0.25">
      <c r="R351" s="1"/>
    </row>
    <row r="352" spans="18:18" x14ac:dyDescent="0.25">
      <c r="R352" s="1"/>
    </row>
    <row r="353" spans="18:18" x14ac:dyDescent="0.25">
      <c r="R353" s="1"/>
    </row>
    <row r="354" spans="18:18" x14ac:dyDescent="0.25">
      <c r="R354" s="1"/>
    </row>
    <row r="355" spans="18:18" x14ac:dyDescent="0.25">
      <c r="R355" s="1"/>
    </row>
    <row r="356" spans="18:18" x14ac:dyDescent="0.25">
      <c r="R356" s="1"/>
    </row>
    <row r="357" spans="18:18" x14ac:dyDescent="0.25">
      <c r="R357" s="1"/>
    </row>
    <row r="358" spans="18:18" x14ac:dyDescent="0.25">
      <c r="R358" s="1"/>
    </row>
    <row r="359" spans="18:18" x14ac:dyDescent="0.25">
      <c r="R359" s="1"/>
    </row>
    <row r="360" spans="18:18" x14ac:dyDescent="0.25">
      <c r="R360" s="1"/>
    </row>
    <row r="361" spans="18:18" x14ac:dyDescent="0.25">
      <c r="R361" s="1"/>
    </row>
    <row r="362" spans="18:18" x14ac:dyDescent="0.25">
      <c r="R362" s="1"/>
    </row>
    <row r="363" spans="18:18" x14ac:dyDescent="0.25">
      <c r="R363" s="1"/>
    </row>
    <row r="364" spans="18:18" x14ac:dyDescent="0.25">
      <c r="R364" s="1"/>
    </row>
    <row r="365" spans="18:18" x14ac:dyDescent="0.25">
      <c r="R365" s="1"/>
    </row>
    <row r="366" spans="18:18" x14ac:dyDescent="0.25">
      <c r="R366" s="1"/>
    </row>
    <row r="367" spans="18:18" x14ac:dyDescent="0.25">
      <c r="R367" s="1"/>
    </row>
    <row r="368" spans="18:18" x14ac:dyDescent="0.25">
      <c r="R368" s="1"/>
    </row>
    <row r="369" spans="18:18" x14ac:dyDescent="0.25">
      <c r="R369" s="1"/>
    </row>
    <row r="370" spans="18:18" x14ac:dyDescent="0.25">
      <c r="R370" s="1"/>
    </row>
    <row r="371" spans="18:18" x14ac:dyDescent="0.25">
      <c r="R371" s="1"/>
    </row>
    <row r="372" spans="18:18" x14ac:dyDescent="0.25">
      <c r="R372" s="1"/>
    </row>
    <row r="373" spans="18:18" x14ac:dyDescent="0.25">
      <c r="R373" s="1"/>
    </row>
    <row r="374" spans="18:18" x14ac:dyDescent="0.25">
      <c r="R374" s="1"/>
    </row>
    <row r="375" spans="18:18" x14ac:dyDescent="0.25">
      <c r="R375" s="1"/>
    </row>
    <row r="376" spans="18:18" x14ac:dyDescent="0.25">
      <c r="R376" s="1"/>
    </row>
    <row r="377" spans="18:18" x14ac:dyDescent="0.25">
      <c r="R377" s="1"/>
    </row>
    <row r="378" spans="18:18" x14ac:dyDescent="0.25">
      <c r="R378" s="1"/>
    </row>
    <row r="379" spans="18:18" x14ac:dyDescent="0.25">
      <c r="R379" s="1"/>
    </row>
    <row r="380" spans="18:18" x14ac:dyDescent="0.25">
      <c r="R380" s="1"/>
    </row>
    <row r="381" spans="18:18" x14ac:dyDescent="0.25">
      <c r="R381" s="1"/>
    </row>
    <row r="382" spans="18:18" x14ac:dyDescent="0.25">
      <c r="R382" s="1"/>
    </row>
    <row r="383" spans="18:18" x14ac:dyDescent="0.25">
      <c r="R383" s="1"/>
    </row>
    <row r="384" spans="18:18" x14ac:dyDescent="0.25">
      <c r="R384" s="1"/>
    </row>
    <row r="385" spans="18:18" x14ac:dyDescent="0.25">
      <c r="R385" s="1"/>
    </row>
    <row r="386" spans="18:18" x14ac:dyDescent="0.25">
      <c r="R386" s="1"/>
    </row>
    <row r="387" spans="18:18" x14ac:dyDescent="0.25">
      <c r="R387" s="1"/>
    </row>
    <row r="388" spans="18:18" x14ac:dyDescent="0.25">
      <c r="R388" s="1"/>
    </row>
    <row r="389" spans="18:18" x14ac:dyDescent="0.25">
      <c r="R389" s="1"/>
    </row>
    <row r="390" spans="18:18" x14ac:dyDescent="0.25">
      <c r="R390" s="1"/>
    </row>
    <row r="391" spans="18:18" x14ac:dyDescent="0.25">
      <c r="R391" s="1"/>
    </row>
    <row r="392" spans="18:18" x14ac:dyDescent="0.25">
      <c r="R392" s="1"/>
    </row>
    <row r="393" spans="18:18" x14ac:dyDescent="0.25">
      <c r="R393" s="1"/>
    </row>
    <row r="394" spans="18:18" x14ac:dyDescent="0.25">
      <c r="R394" s="1"/>
    </row>
    <row r="395" spans="18:18" x14ac:dyDescent="0.25">
      <c r="R395" s="1"/>
    </row>
    <row r="396" spans="18:18" x14ac:dyDescent="0.25">
      <c r="R396" s="1"/>
    </row>
    <row r="397" spans="18:18" x14ac:dyDescent="0.25">
      <c r="R397" s="1"/>
    </row>
    <row r="398" spans="18:18" x14ac:dyDescent="0.25">
      <c r="R398" s="1"/>
    </row>
    <row r="399" spans="18:18" x14ac:dyDescent="0.25">
      <c r="R399" s="1"/>
    </row>
    <row r="400" spans="18:18" x14ac:dyDescent="0.25">
      <c r="R400" s="1"/>
    </row>
    <row r="401" spans="18:18" x14ac:dyDescent="0.25">
      <c r="R401" s="1"/>
    </row>
    <row r="402" spans="18:18" x14ac:dyDescent="0.25">
      <c r="R402" s="1"/>
    </row>
    <row r="403" spans="18:18" x14ac:dyDescent="0.25">
      <c r="R403" s="1"/>
    </row>
    <row r="404" spans="18:18" x14ac:dyDescent="0.25">
      <c r="R404" s="1"/>
    </row>
    <row r="405" spans="18:18" x14ac:dyDescent="0.25">
      <c r="R405" s="1"/>
    </row>
    <row r="406" spans="18:18" x14ac:dyDescent="0.25">
      <c r="R406" s="1"/>
    </row>
    <row r="407" spans="18:18" x14ac:dyDescent="0.25">
      <c r="R407" s="1"/>
    </row>
    <row r="408" spans="18:18" x14ac:dyDescent="0.25">
      <c r="R408" s="1"/>
    </row>
    <row r="409" spans="18:18" x14ac:dyDescent="0.25">
      <c r="R409" s="1"/>
    </row>
    <row r="410" spans="18:18" x14ac:dyDescent="0.25">
      <c r="R410" s="1"/>
    </row>
    <row r="411" spans="18:18" x14ac:dyDescent="0.25">
      <c r="R411" s="1"/>
    </row>
    <row r="412" spans="18:18" x14ac:dyDescent="0.25">
      <c r="R412" s="1"/>
    </row>
    <row r="413" spans="18:18" x14ac:dyDescent="0.25">
      <c r="R413" s="1"/>
    </row>
    <row r="414" spans="18:18" x14ac:dyDescent="0.25">
      <c r="R414" s="1"/>
    </row>
    <row r="415" spans="18:18" x14ac:dyDescent="0.25">
      <c r="R415" s="1"/>
    </row>
    <row r="416" spans="18:18" x14ac:dyDescent="0.25">
      <c r="R416" s="1"/>
    </row>
    <row r="417" spans="18:18" x14ac:dyDescent="0.25">
      <c r="R417" s="1"/>
    </row>
    <row r="418" spans="18:18" x14ac:dyDescent="0.25">
      <c r="R418" s="1"/>
    </row>
    <row r="419" spans="18:18" x14ac:dyDescent="0.25">
      <c r="R419" s="1"/>
    </row>
    <row r="420" spans="18:18" x14ac:dyDescent="0.25">
      <c r="R420" s="1"/>
    </row>
    <row r="421" spans="18:18" x14ac:dyDescent="0.25">
      <c r="R421" s="1"/>
    </row>
    <row r="422" spans="18:18" x14ac:dyDescent="0.25">
      <c r="R422" s="1"/>
    </row>
    <row r="423" spans="18:18" x14ac:dyDescent="0.25">
      <c r="R423" s="1"/>
    </row>
    <row r="424" spans="18:18" x14ac:dyDescent="0.25">
      <c r="R424" s="1"/>
    </row>
    <row r="425" spans="18:18" x14ac:dyDescent="0.25">
      <c r="R425" s="1"/>
    </row>
    <row r="426" spans="18:18" x14ac:dyDescent="0.25">
      <c r="R426" s="1"/>
    </row>
    <row r="427" spans="18:18" x14ac:dyDescent="0.25">
      <c r="R427" s="1"/>
    </row>
    <row r="428" spans="18:18" x14ac:dyDescent="0.25">
      <c r="R428" s="1"/>
    </row>
    <row r="429" spans="18:18" x14ac:dyDescent="0.25">
      <c r="R429" s="1"/>
    </row>
    <row r="430" spans="18:18" x14ac:dyDescent="0.25">
      <c r="R430" s="1"/>
    </row>
    <row r="431" spans="18:18" x14ac:dyDescent="0.25">
      <c r="R431" s="1"/>
    </row>
    <row r="432" spans="18:18" x14ac:dyDescent="0.25">
      <c r="R432" s="1"/>
    </row>
    <row r="433" spans="18:18" x14ac:dyDescent="0.25">
      <c r="R433" s="1"/>
    </row>
    <row r="434" spans="18:18" x14ac:dyDescent="0.25">
      <c r="R434" s="1"/>
    </row>
    <row r="435" spans="18:18" x14ac:dyDescent="0.25">
      <c r="R435" s="1"/>
    </row>
    <row r="436" spans="18:18" x14ac:dyDescent="0.25">
      <c r="R436" s="1"/>
    </row>
    <row r="437" spans="18:18" x14ac:dyDescent="0.25">
      <c r="R437" s="1"/>
    </row>
    <row r="438" spans="18:18" x14ac:dyDescent="0.25">
      <c r="R438" s="1"/>
    </row>
    <row r="439" spans="18:18" x14ac:dyDescent="0.25">
      <c r="R439" s="1"/>
    </row>
    <row r="440" spans="18:18" x14ac:dyDescent="0.25">
      <c r="R440" s="1"/>
    </row>
    <row r="441" spans="18:18" x14ac:dyDescent="0.25">
      <c r="R441" s="1"/>
    </row>
    <row r="442" spans="18:18" x14ac:dyDescent="0.25">
      <c r="R442" s="1"/>
    </row>
    <row r="443" spans="18:18" x14ac:dyDescent="0.25">
      <c r="R443" s="1"/>
    </row>
    <row r="444" spans="18:18" x14ac:dyDescent="0.25">
      <c r="R444" s="1"/>
    </row>
    <row r="445" spans="18:18" x14ac:dyDescent="0.25">
      <c r="R445" s="1"/>
    </row>
    <row r="446" spans="18:18" x14ac:dyDescent="0.25">
      <c r="R446" s="1"/>
    </row>
    <row r="447" spans="18:18" x14ac:dyDescent="0.25">
      <c r="R447" s="1"/>
    </row>
    <row r="448" spans="18:18" x14ac:dyDescent="0.25">
      <c r="R448" s="1"/>
    </row>
    <row r="449" spans="18:18" x14ac:dyDescent="0.25">
      <c r="R449" s="1"/>
    </row>
    <row r="450" spans="18:18" x14ac:dyDescent="0.25">
      <c r="R450" s="1"/>
    </row>
    <row r="451" spans="18:18" x14ac:dyDescent="0.25">
      <c r="R451" s="1"/>
    </row>
    <row r="452" spans="18:18" x14ac:dyDescent="0.25">
      <c r="R452" s="1"/>
    </row>
    <row r="453" spans="18:18" x14ac:dyDescent="0.25">
      <c r="R453" s="1"/>
    </row>
    <row r="454" spans="18:18" x14ac:dyDescent="0.25">
      <c r="R454" s="1"/>
    </row>
    <row r="455" spans="18:18" x14ac:dyDescent="0.25">
      <c r="R455" s="1"/>
    </row>
    <row r="456" spans="18:18" x14ac:dyDescent="0.25">
      <c r="R456" s="1"/>
    </row>
    <row r="457" spans="18:18" x14ac:dyDescent="0.25">
      <c r="R457" s="1"/>
    </row>
    <row r="458" spans="18:18" x14ac:dyDescent="0.25">
      <c r="R458" s="1"/>
    </row>
    <row r="459" spans="18:18" x14ac:dyDescent="0.25">
      <c r="R459" s="1"/>
    </row>
    <row r="460" spans="18:18" x14ac:dyDescent="0.25">
      <c r="R460" s="1"/>
    </row>
    <row r="461" spans="18:18" x14ac:dyDescent="0.25">
      <c r="R461" s="1"/>
    </row>
    <row r="462" spans="18:18" x14ac:dyDescent="0.25">
      <c r="R462" s="1"/>
    </row>
    <row r="463" spans="18:18" x14ac:dyDescent="0.25">
      <c r="R463" s="1"/>
    </row>
    <row r="464" spans="18:18" x14ac:dyDescent="0.25">
      <c r="R464" s="1"/>
    </row>
    <row r="465" spans="18:18" x14ac:dyDescent="0.25">
      <c r="R465" s="1"/>
    </row>
    <row r="466" spans="18:18" x14ac:dyDescent="0.25">
      <c r="R466" s="1"/>
    </row>
    <row r="467" spans="18:18" x14ac:dyDescent="0.25">
      <c r="R467" s="1"/>
    </row>
    <row r="468" spans="18:18" x14ac:dyDescent="0.25">
      <c r="R468" s="1"/>
    </row>
    <row r="469" spans="18:18" x14ac:dyDescent="0.25">
      <c r="R469" s="1"/>
    </row>
    <row r="470" spans="18:18" x14ac:dyDescent="0.25">
      <c r="R470" s="1"/>
    </row>
    <row r="471" spans="18:18" x14ac:dyDescent="0.25">
      <c r="R471" s="1"/>
    </row>
    <row r="472" spans="18:18" x14ac:dyDescent="0.25">
      <c r="R472" s="1"/>
    </row>
    <row r="473" spans="18:18" x14ac:dyDescent="0.25">
      <c r="R473" s="1"/>
    </row>
    <row r="474" spans="18:18" x14ac:dyDescent="0.25">
      <c r="R474" s="1"/>
    </row>
    <row r="475" spans="18:18" x14ac:dyDescent="0.25">
      <c r="R475" s="1"/>
    </row>
    <row r="476" spans="18:18" x14ac:dyDescent="0.25">
      <c r="R476" s="1"/>
    </row>
    <row r="477" spans="18:18" x14ac:dyDescent="0.25">
      <c r="R477" s="1"/>
    </row>
    <row r="478" spans="18:18" x14ac:dyDescent="0.25">
      <c r="R478" s="1"/>
    </row>
    <row r="479" spans="18:18" x14ac:dyDescent="0.25">
      <c r="R479" s="1"/>
    </row>
    <row r="480" spans="18:18" x14ac:dyDescent="0.25">
      <c r="R480" s="1"/>
    </row>
    <row r="481" spans="18:18" x14ac:dyDescent="0.25">
      <c r="R481" s="1"/>
    </row>
    <row r="482" spans="18:18" x14ac:dyDescent="0.25">
      <c r="R482" s="1"/>
    </row>
    <row r="483" spans="18:18" x14ac:dyDescent="0.25">
      <c r="R483" s="1"/>
    </row>
    <row r="484" spans="18:18" x14ac:dyDescent="0.25">
      <c r="R484" s="1"/>
    </row>
    <row r="485" spans="18:18" x14ac:dyDescent="0.25">
      <c r="R485" s="1"/>
    </row>
    <row r="486" spans="18:18" x14ac:dyDescent="0.25">
      <c r="R486" s="1"/>
    </row>
    <row r="487" spans="18:18" x14ac:dyDescent="0.25">
      <c r="R487" s="1"/>
    </row>
    <row r="488" spans="18:18" x14ac:dyDescent="0.25">
      <c r="R488" s="1"/>
    </row>
    <row r="489" spans="18:18" x14ac:dyDescent="0.25">
      <c r="R489" s="1"/>
    </row>
    <row r="490" spans="18:18" x14ac:dyDescent="0.25">
      <c r="R490" s="1"/>
    </row>
    <row r="491" spans="18:18" x14ac:dyDescent="0.25">
      <c r="R491" s="1"/>
    </row>
    <row r="492" spans="18:18" x14ac:dyDescent="0.25">
      <c r="R492" s="1"/>
    </row>
    <row r="493" spans="18:18" x14ac:dyDescent="0.25">
      <c r="R493" s="1"/>
    </row>
    <row r="494" spans="18:18" x14ac:dyDescent="0.25">
      <c r="R494" s="1"/>
    </row>
    <row r="495" spans="18:18" x14ac:dyDescent="0.25">
      <c r="R495" s="1"/>
    </row>
    <row r="496" spans="18:18" x14ac:dyDescent="0.25">
      <c r="R496" s="1"/>
    </row>
    <row r="497" spans="18:18" x14ac:dyDescent="0.25">
      <c r="R497" s="1"/>
    </row>
    <row r="498" spans="18:18" x14ac:dyDescent="0.25">
      <c r="R498" s="1"/>
    </row>
    <row r="499" spans="18:18" x14ac:dyDescent="0.25">
      <c r="R499" s="1"/>
    </row>
    <row r="500" spans="18:18" x14ac:dyDescent="0.25">
      <c r="R500" s="1"/>
    </row>
    <row r="501" spans="18:18" x14ac:dyDescent="0.25">
      <c r="R501" s="1"/>
    </row>
    <row r="502" spans="18:18" x14ac:dyDescent="0.25">
      <c r="R502" s="1"/>
    </row>
    <row r="503" spans="18:18" x14ac:dyDescent="0.25">
      <c r="R503" s="1"/>
    </row>
    <row r="504" spans="18:18" x14ac:dyDescent="0.25">
      <c r="R504" s="1"/>
    </row>
    <row r="505" spans="18:18" x14ac:dyDescent="0.25">
      <c r="R505" s="1"/>
    </row>
    <row r="506" spans="18:18" x14ac:dyDescent="0.25">
      <c r="R506" s="1"/>
    </row>
    <row r="507" spans="18:18" x14ac:dyDescent="0.25">
      <c r="R507" s="1"/>
    </row>
    <row r="508" spans="18:18" x14ac:dyDescent="0.25">
      <c r="R508" s="1"/>
    </row>
    <row r="509" spans="18:18" x14ac:dyDescent="0.25">
      <c r="R509" s="1"/>
    </row>
    <row r="510" spans="18:18" x14ac:dyDescent="0.25">
      <c r="R510" s="1"/>
    </row>
    <row r="511" spans="18:18" x14ac:dyDescent="0.25">
      <c r="R511" s="1"/>
    </row>
    <row r="512" spans="18:18" x14ac:dyDescent="0.25">
      <c r="R512" s="1"/>
    </row>
    <row r="513" spans="18:18" x14ac:dyDescent="0.25">
      <c r="R513" s="1"/>
    </row>
    <row r="514" spans="18:18" x14ac:dyDescent="0.25">
      <c r="R514" s="1"/>
    </row>
    <row r="515" spans="18:18" x14ac:dyDescent="0.25">
      <c r="R515" s="1"/>
    </row>
    <row r="516" spans="18:18" x14ac:dyDescent="0.25">
      <c r="R516" s="1"/>
    </row>
    <row r="517" spans="18:18" x14ac:dyDescent="0.25">
      <c r="R517" s="1"/>
    </row>
    <row r="518" spans="18:18" x14ac:dyDescent="0.25">
      <c r="R518" s="1"/>
    </row>
    <row r="519" spans="18:18" x14ac:dyDescent="0.25">
      <c r="R519" s="1"/>
    </row>
    <row r="520" spans="18:18" x14ac:dyDescent="0.25">
      <c r="R520" s="1"/>
    </row>
    <row r="521" spans="18:18" x14ac:dyDescent="0.25">
      <c r="R521" s="1"/>
    </row>
    <row r="522" spans="18:18" x14ac:dyDescent="0.25">
      <c r="R522" s="1"/>
    </row>
    <row r="523" spans="18:18" x14ac:dyDescent="0.25">
      <c r="R523" s="1"/>
    </row>
    <row r="524" spans="18:18" x14ac:dyDescent="0.25">
      <c r="R524" s="1"/>
    </row>
    <row r="525" spans="18:18" x14ac:dyDescent="0.25">
      <c r="R525" s="1"/>
    </row>
    <row r="526" spans="18:18" x14ac:dyDescent="0.25">
      <c r="R526" s="1"/>
    </row>
    <row r="527" spans="18:18" x14ac:dyDescent="0.25">
      <c r="R527" s="1"/>
    </row>
    <row r="528" spans="18:18" x14ac:dyDescent="0.25">
      <c r="R528" s="1"/>
    </row>
    <row r="529" spans="18:18" x14ac:dyDescent="0.25">
      <c r="R529" s="1"/>
    </row>
    <row r="530" spans="18:18" x14ac:dyDescent="0.25">
      <c r="R530" s="1"/>
    </row>
    <row r="531" spans="18:18" x14ac:dyDescent="0.25">
      <c r="R531" s="1"/>
    </row>
    <row r="532" spans="18:18" x14ac:dyDescent="0.25">
      <c r="R532" s="1"/>
    </row>
    <row r="533" spans="18:18" x14ac:dyDescent="0.25">
      <c r="R533" s="1"/>
    </row>
    <row r="534" spans="18:18" x14ac:dyDescent="0.25">
      <c r="R534" s="1"/>
    </row>
    <row r="535" spans="18:18" x14ac:dyDescent="0.25">
      <c r="R535" s="1"/>
    </row>
    <row r="536" spans="18:18" x14ac:dyDescent="0.25">
      <c r="R536" s="1"/>
    </row>
    <row r="537" spans="18:18" x14ac:dyDescent="0.25">
      <c r="R537" s="1"/>
    </row>
    <row r="538" spans="18:18" x14ac:dyDescent="0.25">
      <c r="R538" s="1"/>
    </row>
    <row r="539" spans="18:18" x14ac:dyDescent="0.25">
      <c r="R539" s="1"/>
    </row>
    <row r="540" spans="18:18" x14ac:dyDescent="0.25">
      <c r="R540" s="1"/>
    </row>
    <row r="541" spans="18:18" x14ac:dyDescent="0.25">
      <c r="R541" s="1"/>
    </row>
    <row r="542" spans="18:18" x14ac:dyDescent="0.25">
      <c r="R542" s="1"/>
    </row>
    <row r="543" spans="18:18" x14ac:dyDescent="0.25">
      <c r="R543" s="1"/>
    </row>
    <row r="544" spans="18:18" x14ac:dyDescent="0.25">
      <c r="R544" s="1"/>
    </row>
    <row r="545" spans="18:18" x14ac:dyDescent="0.25">
      <c r="R545" s="1"/>
    </row>
    <row r="546" spans="18:18" x14ac:dyDescent="0.25">
      <c r="R546" s="1"/>
    </row>
    <row r="547" spans="18:18" x14ac:dyDescent="0.25">
      <c r="R547" s="1"/>
    </row>
    <row r="548" spans="18:18" x14ac:dyDescent="0.25">
      <c r="R548" s="1"/>
    </row>
    <row r="549" spans="18:18" x14ac:dyDescent="0.25">
      <c r="R549" s="1"/>
    </row>
    <row r="550" spans="18:18" x14ac:dyDescent="0.25">
      <c r="R550" s="1"/>
    </row>
    <row r="551" spans="18:18" x14ac:dyDescent="0.25">
      <c r="R551" s="1"/>
    </row>
    <row r="552" spans="18:18" x14ac:dyDescent="0.25">
      <c r="R552" s="1"/>
    </row>
    <row r="553" spans="18:18" x14ac:dyDescent="0.25">
      <c r="R553" s="1"/>
    </row>
    <row r="554" spans="18:18" x14ac:dyDescent="0.25">
      <c r="R554" s="1"/>
    </row>
    <row r="555" spans="18:18" x14ac:dyDescent="0.25">
      <c r="R555" s="1"/>
    </row>
    <row r="556" spans="18:18" x14ac:dyDescent="0.25">
      <c r="R556" s="1"/>
    </row>
    <row r="557" spans="18:18" x14ac:dyDescent="0.25">
      <c r="R557" s="1"/>
    </row>
    <row r="558" spans="18:18" x14ac:dyDescent="0.25">
      <c r="R558" s="1"/>
    </row>
    <row r="559" spans="18:18" x14ac:dyDescent="0.25">
      <c r="R559" s="1"/>
    </row>
    <row r="560" spans="18:18" x14ac:dyDescent="0.25">
      <c r="R560" s="1"/>
    </row>
    <row r="561" spans="18:18" x14ac:dyDescent="0.25">
      <c r="R561" s="1"/>
    </row>
    <row r="562" spans="18:18" x14ac:dyDescent="0.25">
      <c r="R562" s="1"/>
    </row>
    <row r="563" spans="18:18" x14ac:dyDescent="0.25">
      <c r="R563" s="1"/>
    </row>
    <row r="564" spans="18:18" x14ac:dyDescent="0.25">
      <c r="R564" s="1"/>
    </row>
    <row r="565" spans="18:18" x14ac:dyDescent="0.25">
      <c r="R565" s="1"/>
    </row>
    <row r="566" spans="18:18" x14ac:dyDescent="0.25">
      <c r="R566" s="1"/>
    </row>
    <row r="567" spans="18:18" x14ac:dyDescent="0.25">
      <c r="R567" s="1"/>
    </row>
    <row r="568" spans="18:18" x14ac:dyDescent="0.25">
      <c r="R568" s="1"/>
    </row>
    <row r="569" spans="18:18" x14ac:dyDescent="0.25">
      <c r="R569" s="1"/>
    </row>
    <row r="570" spans="18:18" x14ac:dyDescent="0.25">
      <c r="R570" s="1"/>
    </row>
    <row r="571" spans="18:18" x14ac:dyDescent="0.25">
      <c r="R571" s="1"/>
    </row>
    <row r="572" spans="18:18" x14ac:dyDescent="0.25">
      <c r="R572" s="1"/>
    </row>
    <row r="573" spans="18:18" x14ac:dyDescent="0.25">
      <c r="R573" s="1"/>
    </row>
    <row r="574" spans="18:18" x14ac:dyDescent="0.25">
      <c r="R574" s="1"/>
    </row>
    <row r="575" spans="18:18" x14ac:dyDescent="0.25">
      <c r="R575" s="1"/>
    </row>
    <row r="576" spans="18:18" x14ac:dyDescent="0.25">
      <c r="R576" s="1"/>
    </row>
    <row r="577" spans="18:18" x14ac:dyDescent="0.25">
      <c r="R577" s="1"/>
    </row>
    <row r="578" spans="18:18" x14ac:dyDescent="0.25">
      <c r="R578" s="1"/>
    </row>
    <row r="579" spans="18:18" x14ac:dyDescent="0.25">
      <c r="R579" s="1"/>
    </row>
    <row r="580" spans="18:18" x14ac:dyDescent="0.25">
      <c r="R580" s="1"/>
    </row>
    <row r="581" spans="18:18" x14ac:dyDescent="0.25">
      <c r="R581" s="1"/>
    </row>
    <row r="582" spans="18:18" x14ac:dyDescent="0.25">
      <c r="R582" s="1"/>
    </row>
    <row r="583" spans="18:18" x14ac:dyDescent="0.25">
      <c r="R583" s="1"/>
    </row>
    <row r="584" spans="18:18" x14ac:dyDescent="0.25">
      <c r="R584" s="1"/>
    </row>
    <row r="585" spans="18:18" x14ac:dyDescent="0.25">
      <c r="R585" s="1"/>
    </row>
    <row r="586" spans="18:18" x14ac:dyDescent="0.25">
      <c r="R586" s="1"/>
    </row>
    <row r="587" spans="18:18" x14ac:dyDescent="0.25">
      <c r="R587" s="1"/>
    </row>
    <row r="588" spans="18:18" x14ac:dyDescent="0.25">
      <c r="R588" s="1"/>
    </row>
    <row r="589" spans="18:18" x14ac:dyDescent="0.25">
      <c r="R589" s="1"/>
    </row>
    <row r="590" spans="18:18" x14ac:dyDescent="0.25">
      <c r="R590" s="1"/>
    </row>
    <row r="591" spans="18:18" x14ac:dyDescent="0.25">
      <c r="R591" s="1"/>
    </row>
    <row r="592" spans="18:18" x14ac:dyDescent="0.25">
      <c r="R592" s="1"/>
    </row>
    <row r="593" spans="18:18" x14ac:dyDescent="0.25">
      <c r="R593" s="1"/>
    </row>
    <row r="594" spans="18:18" x14ac:dyDescent="0.25">
      <c r="R594" s="1"/>
    </row>
    <row r="595" spans="18:18" x14ac:dyDescent="0.25">
      <c r="R595" s="1"/>
    </row>
    <row r="596" spans="18:18" x14ac:dyDescent="0.25">
      <c r="R596" s="1"/>
    </row>
    <row r="597" spans="18:18" x14ac:dyDescent="0.25">
      <c r="R597" s="1"/>
    </row>
    <row r="598" spans="18:18" x14ac:dyDescent="0.25">
      <c r="R598" s="1"/>
    </row>
    <row r="599" spans="18:18" x14ac:dyDescent="0.25">
      <c r="R599" s="1"/>
    </row>
    <row r="600" spans="18:18" x14ac:dyDescent="0.25">
      <c r="R600" s="1"/>
    </row>
    <row r="601" spans="18:18" x14ac:dyDescent="0.25">
      <c r="R601" s="1"/>
    </row>
    <row r="602" spans="18:18" x14ac:dyDescent="0.25">
      <c r="R602" s="1"/>
    </row>
    <row r="603" spans="18:18" x14ac:dyDescent="0.25">
      <c r="R603" s="1"/>
    </row>
    <row r="604" spans="18:18" x14ac:dyDescent="0.25">
      <c r="R604" s="1"/>
    </row>
    <row r="605" spans="18:18" x14ac:dyDescent="0.25">
      <c r="R605" s="1"/>
    </row>
    <row r="606" spans="18:18" x14ac:dyDescent="0.25">
      <c r="R606" s="1"/>
    </row>
    <row r="607" spans="18:18" x14ac:dyDescent="0.25">
      <c r="R607" s="1"/>
    </row>
    <row r="608" spans="18:18" x14ac:dyDescent="0.25">
      <c r="R608" s="1"/>
    </row>
    <row r="609" spans="16:18" x14ac:dyDescent="0.25">
      <c r="R609" s="1"/>
    </row>
    <row r="610" spans="16:18" x14ac:dyDescent="0.25">
      <c r="R610" s="1"/>
    </row>
    <row r="611" spans="16:18" x14ac:dyDescent="0.25">
      <c r="R611" s="1"/>
    </row>
    <row r="612" spans="16:18" x14ac:dyDescent="0.25">
      <c r="R612" s="1"/>
    </row>
    <row r="613" spans="16:18" x14ac:dyDescent="0.25">
      <c r="R613" s="1"/>
    </row>
    <row r="614" spans="16:18" x14ac:dyDescent="0.25">
      <c r="R614" s="1"/>
    </row>
    <row r="615" spans="16:18" x14ac:dyDescent="0.25">
      <c r="R615" s="1"/>
    </row>
    <row r="616" spans="16:18" x14ac:dyDescent="0.25">
      <c r="R616" s="1"/>
    </row>
    <row r="617" spans="16:18" x14ac:dyDescent="0.25">
      <c r="R617" s="1"/>
    </row>
    <row r="618" spans="16:18" x14ac:dyDescent="0.25">
      <c r="R618" s="1"/>
    </row>
    <row r="619" spans="16:18" x14ac:dyDescent="0.25">
      <c r="R619" s="1"/>
    </row>
    <row r="620" spans="16:18" x14ac:dyDescent="0.25">
      <c r="R620" s="1"/>
    </row>
    <row r="621" spans="16:18" x14ac:dyDescent="0.25">
      <c r="P621" s="1" t="s">
        <v>1</v>
      </c>
      <c r="Q621" t="s">
        <v>2</v>
      </c>
    </row>
    <row r="624" spans="16:18" x14ac:dyDescent="0.25">
      <c r="R624" s="1"/>
    </row>
    <row r="625" spans="18:18" x14ac:dyDescent="0.25">
      <c r="R625" s="1"/>
    </row>
    <row r="626" spans="18:18" x14ac:dyDescent="0.25">
      <c r="R626" s="1"/>
    </row>
    <row r="627" spans="18:18" x14ac:dyDescent="0.25">
      <c r="R627" s="1"/>
    </row>
    <row r="629" spans="18:18" x14ac:dyDescent="0.25">
      <c r="R629" s="2"/>
    </row>
    <row r="630" spans="18:18" x14ac:dyDescent="0.25">
      <c r="R630" s="1"/>
    </row>
  </sheetData>
  <autoFilter ref="A1:D111" xr:uid="{6942D9F3-7CF0-46A4-BE72-61EDD92EF2CC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DD93C-CF01-4696-9897-E5616337A4F1}">
  <dimension ref="A1:S630"/>
  <sheetViews>
    <sheetView tabSelected="1" workbookViewId="0">
      <selection activeCell="E20" sqref="E20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7.42578125" bestFit="1" customWidth="1"/>
    <col min="4" max="4" width="13.7109375" bestFit="1" customWidth="1"/>
    <col min="16" max="16" width="23.5703125" bestFit="1" customWidth="1"/>
    <col min="17" max="17" width="22.5703125" bestFit="1" customWidth="1"/>
    <col min="18" max="18" width="10.28515625" bestFit="1" customWidth="1"/>
    <col min="19" max="19" width="10.42578125" bestFit="1" customWidth="1"/>
  </cols>
  <sheetData>
    <row r="1" spans="1:19" x14ac:dyDescent="0.25">
      <c r="A1" t="str" cm="1">
        <f t="array" aca="1" ref="A1:D176" ca="1">bdh(P4:P181,Q4:Q5,R4,R5,,P621:Q621,1)</f>
        <v>NM_TICKER</v>
      </c>
      <c r="B1" t="str">
        <f ca="1"/>
        <v>DATA</v>
      </c>
      <c r="C1" t="str">
        <f ca="1"/>
        <v>NM_FIELD</v>
      </c>
      <c r="D1" t="str">
        <f ca="1"/>
        <v>VL_FIELD</v>
      </c>
    </row>
    <row r="2" spans="1:19" x14ac:dyDescent="0.25">
      <c r="A2" t="str">
        <f ca="1"/>
        <v>CEEB3 BZ Equity</v>
      </c>
      <c r="B2" t="str">
        <f ca="1"/>
        <v>2024-10-28</v>
      </c>
      <c r="C2" t="str">
        <f ca="1"/>
        <v>CUR_MKT_CAP</v>
      </c>
      <c r="D2" s="4" t="str">
        <f ca="1"/>
        <v>10167.330500</v>
      </c>
    </row>
    <row r="3" spans="1:19" x14ac:dyDescent="0.25">
      <c r="A3" t="str">
        <f ca="1"/>
        <v>SBSP3 BZ Equity</v>
      </c>
      <c r="B3" t="str">
        <f ca="1"/>
        <v>2024-10-28</v>
      </c>
      <c r="C3" t="str">
        <f ca="1"/>
        <v>CUR_MKT_CAP</v>
      </c>
      <c r="D3" s="4" t="str">
        <f ca="1"/>
        <v>62978.598900</v>
      </c>
    </row>
    <row r="4" spans="1:19" x14ac:dyDescent="0.25">
      <c r="A4" t="str">
        <f ca="1"/>
        <v>AURA33 BZ Equity</v>
      </c>
      <c r="B4" t="str">
        <f ca="1"/>
        <v>2024-10-28</v>
      </c>
      <c r="C4" t="str">
        <f ca="1"/>
        <v>CUR_MKT_CAP</v>
      </c>
      <c r="D4" s="4" t="str">
        <f ca="1"/>
        <v>5126.164900</v>
      </c>
      <c r="P4" t="s">
        <v>5</v>
      </c>
      <c r="Q4" t="s">
        <v>179</v>
      </c>
      <c r="R4" s="1">
        <f ca="1">S4</f>
        <v>45593</v>
      </c>
      <c r="S4" s="3">
        <f ca="1">TODAY()</f>
        <v>45593</v>
      </c>
    </row>
    <row r="5" spans="1:19" x14ac:dyDescent="0.25">
      <c r="A5" t="str">
        <f ca="1"/>
        <v>PFRM3 BZ Equity</v>
      </c>
      <c r="B5" t="str">
        <f ca="1"/>
        <v>2024-10-28</v>
      </c>
      <c r="C5" t="str">
        <f ca="1"/>
        <v>CUR_MKT_CAP</v>
      </c>
      <c r="D5" s="4" t="str">
        <f ca="1"/>
        <v>791.163600</v>
      </c>
      <c r="P5" t="s">
        <v>7</v>
      </c>
      <c r="R5" s="1">
        <f ca="1">S4</f>
        <v>45593</v>
      </c>
    </row>
    <row r="6" spans="1:19" x14ac:dyDescent="0.25">
      <c r="A6" t="str">
        <f ca="1"/>
        <v>SEER3 BZ Equity</v>
      </c>
      <c r="B6" t="str">
        <f ca="1"/>
        <v>2024-10-28</v>
      </c>
      <c r="C6" t="str">
        <f ca="1"/>
        <v>CUR_MKT_CAP</v>
      </c>
      <c r="D6" s="4" t="str">
        <f ca="1"/>
        <v>792.924800</v>
      </c>
      <c r="P6" t="s">
        <v>8</v>
      </c>
      <c r="R6" s="1"/>
    </row>
    <row r="7" spans="1:19" x14ac:dyDescent="0.25">
      <c r="A7" t="str">
        <f ca="1"/>
        <v>ALLD3 BZ Equity</v>
      </c>
      <c r="B7" t="str">
        <f ca="1"/>
        <v>2024-10-28</v>
      </c>
      <c r="C7" t="str">
        <f ca="1"/>
        <v>CUR_MKT_CAP</v>
      </c>
      <c r="D7" s="4" t="str">
        <f ca="1"/>
        <v>713.136000</v>
      </c>
      <c r="P7" t="s">
        <v>10</v>
      </c>
      <c r="R7" s="1"/>
    </row>
    <row r="8" spans="1:19" x14ac:dyDescent="0.25">
      <c r="A8" t="str">
        <f ca="1"/>
        <v>AALR3 BZ Equity</v>
      </c>
      <c r="B8" t="str">
        <f ca="1"/>
        <v>2024-10-28</v>
      </c>
      <c r="C8" t="str">
        <f ca="1"/>
        <v>CUR_MKT_CAP</v>
      </c>
      <c r="D8" s="4" t="str">
        <f ca="1"/>
        <v>1738.904400</v>
      </c>
      <c r="P8" t="s">
        <v>11</v>
      </c>
      <c r="R8" s="1"/>
    </row>
    <row r="9" spans="1:19" x14ac:dyDescent="0.25">
      <c r="A9" t="str">
        <f ca="1"/>
        <v>ENGI11 BZ Equity</v>
      </c>
      <c r="B9" t="str">
        <f ca="1"/>
        <v>2024-10-28</v>
      </c>
      <c r="C9" t="str">
        <f ca="1"/>
        <v>CUR_MKT_CAP</v>
      </c>
      <c r="D9" s="4" t="str">
        <f ca="1"/>
        <v>21804.885800</v>
      </c>
      <c r="P9" t="s">
        <v>4</v>
      </c>
      <c r="R9" s="1"/>
    </row>
    <row r="10" spans="1:19" x14ac:dyDescent="0.25">
      <c r="A10" t="str">
        <f ca="1"/>
        <v>VITT3 BZ Equity</v>
      </c>
      <c r="B10" t="str">
        <f ca="1"/>
        <v>2024-10-28</v>
      </c>
      <c r="C10" t="str">
        <f ca="1"/>
        <v>CUR_MKT_CAP</v>
      </c>
      <c r="D10" s="4" t="str">
        <f ca="1"/>
        <v>860.209900</v>
      </c>
      <c r="P10" t="s">
        <v>12</v>
      </c>
      <c r="R10" s="1"/>
    </row>
    <row r="11" spans="1:19" x14ac:dyDescent="0.25">
      <c r="A11" t="str">
        <f ca="1"/>
        <v>MGLU3 BZ Equity</v>
      </c>
      <c r="B11" t="str">
        <f ca="1"/>
        <v>2024-10-28</v>
      </c>
      <c r="C11" t="str">
        <f ca="1"/>
        <v>CUR_MKT_CAP</v>
      </c>
      <c r="D11" s="4" t="str">
        <f ca="1"/>
        <v>7027.845000</v>
      </c>
      <c r="P11" t="s">
        <v>13</v>
      </c>
      <c r="R11" s="1"/>
    </row>
    <row r="12" spans="1:19" x14ac:dyDescent="0.25">
      <c r="A12" t="str">
        <f ca="1"/>
        <v>PGMN3 BZ Equity</v>
      </c>
      <c r="B12" t="str">
        <f ca="1"/>
        <v>2024-10-28</v>
      </c>
      <c r="C12" t="str">
        <f ca="1"/>
        <v>CUR_MKT_CAP</v>
      </c>
      <c r="D12" s="4" t="str">
        <f ca="1"/>
        <v>1646.255200</v>
      </c>
      <c r="P12" t="s">
        <v>143</v>
      </c>
      <c r="R12" s="1"/>
    </row>
    <row r="13" spans="1:19" x14ac:dyDescent="0.25">
      <c r="A13" t="str">
        <f ca="1"/>
        <v>CMIN3 BZ Equity</v>
      </c>
      <c r="B13" t="str">
        <f ca="1"/>
        <v>2024-10-28</v>
      </c>
      <c r="C13" t="str">
        <f ca="1"/>
        <v>CUR_MKT_CAP</v>
      </c>
      <c r="D13" s="4" t="str">
        <f ca="1"/>
        <v>33131.446400</v>
      </c>
      <c r="P13" t="s">
        <v>144</v>
      </c>
      <c r="R13" s="1"/>
    </row>
    <row r="14" spans="1:19" x14ac:dyDescent="0.25">
      <c r="A14" t="str">
        <f ca="1"/>
        <v>PLPL3 BZ Equity</v>
      </c>
      <c r="B14" t="str">
        <f ca="1"/>
        <v>2024-10-28</v>
      </c>
      <c r="C14" t="str">
        <f ca="1"/>
        <v>CUR_MKT_CAP</v>
      </c>
      <c r="D14" s="4" t="str">
        <f ca="1"/>
        <v>2740.429400</v>
      </c>
      <c r="P14" t="s">
        <v>14</v>
      </c>
      <c r="R14" s="1"/>
    </row>
    <row r="15" spans="1:19" x14ac:dyDescent="0.25">
      <c r="A15" t="str">
        <f ca="1"/>
        <v>STBP3 BZ Equity</v>
      </c>
      <c r="B15" t="str">
        <f ca="1"/>
        <v>2024-10-28</v>
      </c>
      <c r="C15" t="str">
        <f ca="1"/>
        <v>CUR_MKT_CAP</v>
      </c>
      <c r="D15" s="4" t="str">
        <f ca="1"/>
        <v>11044.097100</v>
      </c>
      <c r="P15" t="s">
        <v>15</v>
      </c>
      <c r="R15" s="1"/>
    </row>
    <row r="16" spans="1:19" x14ac:dyDescent="0.25">
      <c r="A16" t="str">
        <f ca="1"/>
        <v>BPAC11 BZ Equity</v>
      </c>
      <c r="B16" t="str">
        <f ca="1"/>
        <v>2024-10-28</v>
      </c>
      <c r="C16" t="str">
        <f ca="1"/>
        <v>CUR_MKT_CAP</v>
      </c>
      <c r="D16" s="4" t="str">
        <f ca="1"/>
        <v>126759.085000</v>
      </c>
      <c r="P16" t="s">
        <v>16</v>
      </c>
      <c r="R16" s="1"/>
    </row>
    <row r="17" spans="1:18" x14ac:dyDescent="0.25">
      <c r="A17" t="str">
        <f ca="1"/>
        <v>SBFG3 BZ Equity</v>
      </c>
      <c r="B17" t="str">
        <f ca="1"/>
        <v>2024-10-28</v>
      </c>
      <c r="C17" t="str">
        <f ca="1"/>
        <v>CUR_MKT_CAP</v>
      </c>
      <c r="D17" s="4" t="str">
        <f ca="1"/>
        <v>3430.226000</v>
      </c>
      <c r="P17" t="s">
        <v>6</v>
      </c>
      <c r="R17" s="1"/>
    </row>
    <row r="18" spans="1:18" x14ac:dyDescent="0.25">
      <c r="A18" t="str">
        <f ca="1"/>
        <v>EVEN3 BZ Equity</v>
      </c>
      <c r="B18" t="str">
        <f ca="1"/>
        <v>2024-10-28</v>
      </c>
      <c r="C18" t="str">
        <f ca="1"/>
        <v>CUR_MKT_CAP</v>
      </c>
      <c r="D18" s="4" t="str">
        <f ca="1"/>
        <v>1234.000000</v>
      </c>
      <c r="P18" t="s">
        <v>17</v>
      </c>
      <c r="R18" s="1"/>
    </row>
    <row r="19" spans="1:18" x14ac:dyDescent="0.25">
      <c r="A19" t="str">
        <f ca="1"/>
        <v>MRFG3 BZ Equity</v>
      </c>
      <c r="B19" t="str">
        <f ca="1"/>
        <v>2024-10-28</v>
      </c>
      <c r="C19" t="str">
        <f ca="1"/>
        <v>CUR_MKT_CAP</v>
      </c>
      <c r="D19" s="4" t="str">
        <f ca="1"/>
        <v>13381.620400</v>
      </c>
      <c r="P19" t="s">
        <v>18</v>
      </c>
      <c r="R19" s="1"/>
    </row>
    <row r="20" spans="1:18" x14ac:dyDescent="0.25">
      <c r="A20" t="str">
        <f ca="1"/>
        <v>QUAL3 BZ Equity</v>
      </c>
      <c r="B20" t="str">
        <f ca="1"/>
        <v>2024-10-28</v>
      </c>
      <c r="C20" t="str">
        <f ca="1"/>
        <v>CUR_MKT_CAP</v>
      </c>
      <c r="D20" s="4" t="str">
        <f ca="1"/>
        <v>624.831500</v>
      </c>
      <c r="P20" t="s">
        <v>19</v>
      </c>
      <c r="R20" s="1"/>
    </row>
    <row r="21" spans="1:18" x14ac:dyDescent="0.25">
      <c r="A21" t="str">
        <f ca="1"/>
        <v>INTB3 BZ Equity</v>
      </c>
      <c r="B21" t="str">
        <f ca="1"/>
        <v>2024-10-28</v>
      </c>
      <c r="C21" t="str">
        <f ca="1"/>
        <v>CUR_MKT_CAP</v>
      </c>
      <c r="D21" s="4" t="str">
        <f ca="1"/>
        <v>6696.371300</v>
      </c>
      <c r="P21" t="s">
        <v>20</v>
      </c>
      <c r="R21" s="1"/>
    </row>
    <row r="22" spans="1:18" x14ac:dyDescent="0.25">
      <c r="A22" t="str">
        <f ca="1"/>
        <v>CRFB3 BZ Equity</v>
      </c>
      <c r="B22" t="str">
        <f ca="1"/>
        <v>2024-10-28</v>
      </c>
      <c r="C22" t="str">
        <f ca="1"/>
        <v>CUR_MKT_CAP</v>
      </c>
      <c r="D22" s="4" t="str">
        <f ca="1"/>
        <v>15311.752200</v>
      </c>
      <c r="P22" t="s">
        <v>21</v>
      </c>
      <c r="R22" s="1"/>
    </row>
    <row r="23" spans="1:18" x14ac:dyDescent="0.25">
      <c r="A23" t="str">
        <f ca="1"/>
        <v>BHIA3 BZ Equity</v>
      </c>
      <c r="B23" t="str">
        <f ca="1"/>
        <v>2024-10-28</v>
      </c>
      <c r="C23" t="str">
        <f ca="1"/>
        <v>CUR_MKT_CAP</v>
      </c>
      <c r="D23" s="4" t="str">
        <f ca="1"/>
        <v>409.815300</v>
      </c>
      <c r="P23" t="s">
        <v>137</v>
      </c>
      <c r="R23" s="1"/>
    </row>
    <row r="24" spans="1:18" x14ac:dyDescent="0.25">
      <c r="A24" t="str">
        <f ca="1"/>
        <v>CCRO3 BZ Equity</v>
      </c>
      <c r="B24" t="str">
        <f ca="1"/>
        <v>2024-10-28</v>
      </c>
      <c r="C24" t="str">
        <f ca="1"/>
        <v>CUR_MKT_CAP</v>
      </c>
      <c r="D24" s="4" t="str">
        <f ca="1"/>
        <v>24684.400500</v>
      </c>
      <c r="P24" t="s">
        <v>22</v>
      </c>
      <c r="R24" s="1"/>
    </row>
    <row r="25" spans="1:18" x14ac:dyDescent="0.25">
      <c r="A25" t="str">
        <f ca="1"/>
        <v>LREN3 BZ Equity</v>
      </c>
      <c r="B25" t="str">
        <f ca="1"/>
        <v>2024-10-28</v>
      </c>
      <c r="C25" t="str">
        <f ca="1"/>
        <v>CUR_MKT_CAP</v>
      </c>
      <c r="D25" s="4" t="str">
        <f ca="1"/>
        <v>17733.008800</v>
      </c>
      <c r="P25" t="s">
        <v>23</v>
      </c>
      <c r="R25" s="1"/>
    </row>
    <row r="26" spans="1:18" x14ac:dyDescent="0.25">
      <c r="A26" t="str">
        <f ca="1"/>
        <v>CPFE3 BZ Equity</v>
      </c>
      <c r="B26" t="str">
        <f ca="1"/>
        <v>2024-10-28</v>
      </c>
      <c r="C26" t="str">
        <f ca="1"/>
        <v>CUR_MKT_CAP</v>
      </c>
      <c r="D26" s="4" t="str">
        <f ca="1"/>
        <v>38035.917100</v>
      </c>
      <c r="P26" t="s">
        <v>24</v>
      </c>
      <c r="R26" s="1"/>
    </row>
    <row r="27" spans="1:18" x14ac:dyDescent="0.25">
      <c r="A27" t="str">
        <f ca="1"/>
        <v>TASA4 BZ Equity</v>
      </c>
      <c r="B27" t="str">
        <f ca="1"/>
        <v>2024-10-28</v>
      </c>
      <c r="C27" t="str">
        <f ca="1"/>
        <v>CUR_MKT_CAP</v>
      </c>
      <c r="D27" s="4" t="str">
        <f ca="1"/>
        <v>1243.299900</v>
      </c>
      <c r="P27" t="s">
        <v>25</v>
      </c>
      <c r="R27" s="1"/>
    </row>
    <row r="28" spans="1:18" x14ac:dyDescent="0.25">
      <c r="A28" t="str">
        <f ca="1"/>
        <v>SLCE3 BZ Equity</v>
      </c>
      <c r="B28" t="str">
        <f ca="1"/>
        <v>2024-10-28</v>
      </c>
      <c r="C28" t="str">
        <f ca="1"/>
        <v>CUR_MKT_CAP</v>
      </c>
      <c r="D28" s="4" t="str">
        <f ca="1"/>
        <v>7638.570800</v>
      </c>
      <c r="P28" t="s">
        <v>26</v>
      </c>
      <c r="R28" s="1"/>
    </row>
    <row r="29" spans="1:18" x14ac:dyDescent="0.25">
      <c r="A29" t="str">
        <f ca="1"/>
        <v>POMO4 BZ Equity</v>
      </c>
      <c r="B29" t="str">
        <f ca="1"/>
        <v>2024-10-28</v>
      </c>
      <c r="C29" t="str">
        <f ca="1"/>
        <v>CUR_MKT_CAP</v>
      </c>
      <c r="D29" s="4" t="str">
        <f ca="1"/>
        <v>8858.903200</v>
      </c>
      <c r="P29" t="s">
        <v>27</v>
      </c>
      <c r="R29" s="1"/>
    </row>
    <row r="30" spans="1:18" x14ac:dyDescent="0.25">
      <c r="A30" t="str">
        <f ca="1"/>
        <v>ELMD3 BZ Equity</v>
      </c>
      <c r="B30" t="str">
        <f ca="1"/>
        <v>2024-10-28</v>
      </c>
      <c r="C30" t="str">
        <f ca="1"/>
        <v>CUR_MKT_CAP</v>
      </c>
      <c r="D30" s="4" t="str">
        <f ca="1"/>
        <v>2477.712500</v>
      </c>
      <c r="P30" t="s">
        <v>28</v>
      </c>
      <c r="R30" s="1"/>
    </row>
    <row r="31" spans="1:18" x14ac:dyDescent="0.25">
      <c r="A31" t="str">
        <f ca="1"/>
        <v>MELK3 BZ Equity</v>
      </c>
      <c r="B31" t="str">
        <f ca="1"/>
        <v>2024-10-28</v>
      </c>
      <c r="C31" t="str">
        <f ca="1"/>
        <v>CUR_MKT_CAP</v>
      </c>
      <c r="D31" s="4" t="str">
        <f ca="1"/>
        <v>750.820400</v>
      </c>
      <c r="P31" t="s">
        <v>29</v>
      </c>
      <c r="R31" s="1"/>
    </row>
    <row r="32" spans="1:18" x14ac:dyDescent="0.25">
      <c r="A32" t="str">
        <f ca="1"/>
        <v>PSSA3 BZ Equity</v>
      </c>
      <c r="B32" t="str">
        <f ca="1"/>
        <v>2024-10-28</v>
      </c>
      <c r="C32" t="str">
        <f ca="1"/>
        <v>CUR_MKT_CAP</v>
      </c>
      <c r="D32" s="4" t="str">
        <f ca="1"/>
        <v>24997.017000</v>
      </c>
      <c r="P32" t="s">
        <v>30</v>
      </c>
      <c r="R32" s="1"/>
    </row>
    <row r="33" spans="1:18" x14ac:dyDescent="0.25">
      <c r="A33" t="str">
        <f ca="1"/>
        <v>MILS3 BZ Equity</v>
      </c>
      <c r="B33" t="str">
        <f ca="1"/>
        <v>2024-10-28</v>
      </c>
      <c r="C33" t="str">
        <f ca="1"/>
        <v>CUR_MKT_CAP</v>
      </c>
      <c r="D33" s="4" t="str">
        <f ca="1"/>
        <v>2592.554300</v>
      </c>
      <c r="P33" t="s">
        <v>31</v>
      </c>
      <c r="R33" s="1"/>
    </row>
    <row r="34" spans="1:18" x14ac:dyDescent="0.25">
      <c r="A34" t="str">
        <f ca="1"/>
        <v>MATD3 BZ Equity</v>
      </c>
      <c r="B34" t="str">
        <f ca="1"/>
        <v>2024-10-28</v>
      </c>
      <c r="C34" t="str">
        <f ca="1"/>
        <v>CUR_MKT_CAP</v>
      </c>
      <c r="D34" s="4" t="str">
        <f ca="1"/>
        <v>1628.725100</v>
      </c>
      <c r="P34" t="s">
        <v>32</v>
      </c>
      <c r="R34" s="1"/>
    </row>
    <row r="35" spans="1:18" x14ac:dyDescent="0.25">
      <c r="A35" t="str">
        <f ca="1"/>
        <v>BPAN4 BZ Equity</v>
      </c>
      <c r="B35" t="str">
        <f ca="1"/>
        <v>2024-10-28</v>
      </c>
      <c r="C35" t="str">
        <f ca="1"/>
        <v>CUR_MKT_CAP</v>
      </c>
      <c r="D35" s="4" t="str">
        <f ca="1"/>
        <v>11307.414300</v>
      </c>
      <c r="P35" t="s">
        <v>33</v>
      </c>
      <c r="R35" s="1"/>
    </row>
    <row r="36" spans="1:18" x14ac:dyDescent="0.25">
      <c r="A36" t="str">
        <f ca="1"/>
        <v>IRBR3 BZ Equity</v>
      </c>
      <c r="B36" t="str">
        <f ca="1"/>
        <v>2024-10-28</v>
      </c>
      <c r="C36" t="str">
        <f ca="1"/>
        <v>CUR_MKT_CAP</v>
      </c>
      <c r="D36" s="4" t="str">
        <f ca="1"/>
        <v>3552.116900</v>
      </c>
      <c r="P36" t="s">
        <v>145</v>
      </c>
      <c r="R36" s="1"/>
    </row>
    <row r="37" spans="1:18" x14ac:dyDescent="0.25">
      <c r="A37" t="str">
        <f ca="1"/>
        <v>CYRE3 BZ Equity</v>
      </c>
      <c r="B37" t="str">
        <f ca="1"/>
        <v>2024-10-28</v>
      </c>
      <c r="C37" t="str">
        <f ca="1"/>
        <v>CUR_MKT_CAP</v>
      </c>
      <c r="D37" s="4" t="str">
        <f ca="1"/>
        <v>8478.544400</v>
      </c>
      <c r="P37" t="s">
        <v>34</v>
      </c>
      <c r="R37" s="1"/>
    </row>
    <row r="38" spans="1:18" x14ac:dyDescent="0.25">
      <c r="A38" t="str">
        <f ca="1"/>
        <v>UNIP6 BZ Equity</v>
      </c>
      <c r="B38" t="str">
        <f ca="1"/>
        <v>2024-10-28</v>
      </c>
      <c r="C38" t="str">
        <f ca="1"/>
        <v>CUR_MKT_CAP</v>
      </c>
      <c r="D38" s="4" t="str">
        <f ca="1"/>
        <v>5185.996600</v>
      </c>
      <c r="P38" t="s">
        <v>35</v>
      </c>
      <c r="R38" s="1"/>
    </row>
    <row r="39" spans="1:18" x14ac:dyDescent="0.25">
      <c r="A39" t="str">
        <f ca="1"/>
        <v>AURE3 BZ Equity</v>
      </c>
      <c r="B39" t="str">
        <f ca="1"/>
        <v>2024-10-28</v>
      </c>
      <c r="C39" t="str">
        <f ca="1"/>
        <v>CUR_MKT_CAP</v>
      </c>
      <c r="D39" s="4" t="str">
        <f ca="1"/>
        <v>10500.000000</v>
      </c>
      <c r="P39" t="s">
        <v>36</v>
      </c>
      <c r="R39" s="1"/>
    </row>
    <row r="40" spans="1:18" x14ac:dyDescent="0.25">
      <c r="A40" t="str">
        <f ca="1"/>
        <v>GGBR4 BZ Equity</v>
      </c>
      <c r="B40" t="str">
        <f ca="1"/>
        <v>2024-10-28</v>
      </c>
      <c r="C40" t="str">
        <f ca="1"/>
        <v>CUR_MKT_CAP</v>
      </c>
      <c r="D40" s="4" t="str">
        <f ca="1"/>
        <v>38023.635700</v>
      </c>
      <c r="P40" t="s">
        <v>146</v>
      </c>
      <c r="R40" s="1"/>
    </row>
    <row r="41" spans="1:18" x14ac:dyDescent="0.25">
      <c r="A41" t="str">
        <f ca="1"/>
        <v>VIVT3 BZ Equity</v>
      </c>
      <c r="B41" t="str">
        <f ca="1"/>
        <v>2024-10-28</v>
      </c>
      <c r="C41" t="str">
        <f ca="1"/>
        <v>CUR_MKT_CAP</v>
      </c>
      <c r="D41" s="4" t="str">
        <f ca="1"/>
        <v>89719.023600</v>
      </c>
      <c r="P41" t="s">
        <v>37</v>
      </c>
      <c r="R41" s="1"/>
    </row>
    <row r="42" spans="1:18" x14ac:dyDescent="0.25">
      <c r="A42" t="str">
        <f ca="1"/>
        <v>TUPY3 BZ Equity</v>
      </c>
      <c r="B42" t="str">
        <f ca="1"/>
        <v>2024-10-28</v>
      </c>
      <c r="C42" t="str">
        <f ca="1"/>
        <v>CUR_MKT_CAP</v>
      </c>
      <c r="D42" s="4" t="str">
        <f ca="1"/>
        <v>3373.753400</v>
      </c>
      <c r="P42" t="s">
        <v>147</v>
      </c>
      <c r="R42" s="1"/>
    </row>
    <row r="43" spans="1:18" x14ac:dyDescent="0.25">
      <c r="A43" t="str">
        <f ca="1"/>
        <v>ZAMP3 BZ Equity</v>
      </c>
      <c r="B43" t="str">
        <f ca="1"/>
        <v>2024-10-28</v>
      </c>
      <c r="C43" t="str">
        <f ca="1"/>
        <v>CUR_MKT_CAP</v>
      </c>
      <c r="D43" s="4" t="str">
        <f ca="1"/>
        <v>693.895700</v>
      </c>
      <c r="P43" t="s">
        <v>148</v>
      </c>
      <c r="R43" s="1"/>
    </row>
    <row r="44" spans="1:18" x14ac:dyDescent="0.25">
      <c r="A44" t="str">
        <f ca="1"/>
        <v>MYPK3 BZ Equity</v>
      </c>
      <c r="B44" t="str">
        <f ca="1"/>
        <v>2024-10-28</v>
      </c>
      <c r="C44" t="str">
        <f ca="1"/>
        <v>CUR_MKT_CAP</v>
      </c>
      <c r="D44" s="4" t="str">
        <f ca="1"/>
        <v>1571.014400</v>
      </c>
      <c r="P44" t="s">
        <v>38</v>
      </c>
      <c r="R44" s="1"/>
    </row>
    <row r="45" spans="1:18" x14ac:dyDescent="0.25">
      <c r="A45" t="str">
        <f ca="1"/>
        <v>PETZ3 BZ Equity</v>
      </c>
      <c r="B45" t="str">
        <f ca="1"/>
        <v>2024-10-28</v>
      </c>
      <c r="C45" t="str">
        <f ca="1"/>
        <v>CUR_MKT_CAP</v>
      </c>
      <c r="D45" s="4" t="str">
        <f ca="1"/>
        <v>2275.615700</v>
      </c>
      <c r="P45" t="s">
        <v>39</v>
      </c>
      <c r="R45" s="1"/>
    </row>
    <row r="46" spans="1:18" x14ac:dyDescent="0.25">
      <c r="A46" t="str">
        <f ca="1"/>
        <v>CEAB3 BZ Equity</v>
      </c>
      <c r="B46" t="str">
        <f ca="1"/>
        <v>2024-10-28</v>
      </c>
      <c r="C46" t="str">
        <f ca="1"/>
        <v>CUR_MKT_CAP</v>
      </c>
      <c r="D46" s="4" t="str">
        <f ca="1"/>
        <v>3896.217800</v>
      </c>
      <c r="P46" t="s">
        <v>40</v>
      </c>
      <c r="R46" s="1"/>
    </row>
    <row r="47" spans="1:18" x14ac:dyDescent="0.25">
      <c r="A47" t="str">
        <f ca="1"/>
        <v>ODPV3 BZ Equity</v>
      </c>
      <c r="B47" t="str">
        <f ca="1"/>
        <v>2024-10-28</v>
      </c>
      <c r="C47" t="str">
        <f ca="1"/>
        <v>CUR_MKT_CAP</v>
      </c>
      <c r="D47" s="4" t="str">
        <f ca="1"/>
        <v>5795.679400</v>
      </c>
      <c r="P47" t="s">
        <v>41</v>
      </c>
      <c r="R47" s="1"/>
    </row>
    <row r="48" spans="1:18" x14ac:dyDescent="0.25">
      <c r="A48" t="str">
        <f ca="1"/>
        <v>ALPA4 BZ Equity</v>
      </c>
      <c r="B48" t="str">
        <f ca="1"/>
        <v>2024-10-28</v>
      </c>
      <c r="C48" t="str">
        <f ca="1"/>
        <v>CUR_MKT_CAP</v>
      </c>
      <c r="D48" s="4" t="str">
        <f ca="1"/>
        <v>4731.438300</v>
      </c>
      <c r="P48" t="s">
        <v>42</v>
      </c>
      <c r="R48" s="1"/>
    </row>
    <row r="49" spans="1:18" x14ac:dyDescent="0.25">
      <c r="A49" t="str">
        <f ca="1"/>
        <v>GMAT3 BZ Equity</v>
      </c>
      <c r="B49" t="str">
        <f ca="1"/>
        <v>2024-10-28</v>
      </c>
      <c r="C49" t="str">
        <f ca="1"/>
        <v>CUR_MKT_CAP</v>
      </c>
      <c r="D49" s="4" t="str">
        <f ca="1"/>
        <v>16327.067200</v>
      </c>
      <c r="P49" t="s">
        <v>149</v>
      </c>
      <c r="R49" s="1"/>
    </row>
    <row r="50" spans="1:18" x14ac:dyDescent="0.25">
      <c r="A50" t="str">
        <f ca="1"/>
        <v>TEND3 BZ Equity</v>
      </c>
      <c r="B50" t="str">
        <f ca="1"/>
        <v>2024-10-28</v>
      </c>
      <c r="C50" t="str">
        <f ca="1"/>
        <v>CUR_MKT_CAP</v>
      </c>
      <c r="D50" s="4" t="str">
        <f ca="1"/>
        <v>1766.402500</v>
      </c>
      <c r="P50" t="s">
        <v>138</v>
      </c>
      <c r="R50" s="1"/>
    </row>
    <row r="51" spans="1:18" x14ac:dyDescent="0.25">
      <c r="A51" t="str">
        <f ca="1"/>
        <v>RANI3 BZ Equity</v>
      </c>
      <c r="B51" t="str">
        <f ca="1"/>
        <v>2024-10-28</v>
      </c>
      <c r="C51" t="str">
        <f ca="1"/>
        <v>CUR_MKT_CAP</v>
      </c>
      <c r="D51" s="4" t="str">
        <f ca="1"/>
        <v>1858.681900</v>
      </c>
      <c r="P51" t="s">
        <v>43</v>
      </c>
      <c r="R51" s="1"/>
    </row>
    <row r="52" spans="1:18" x14ac:dyDescent="0.25">
      <c r="A52" t="str">
        <f ca="1"/>
        <v>RECV3 BZ Equity</v>
      </c>
      <c r="B52" t="str">
        <f ca="1"/>
        <v>2024-10-28</v>
      </c>
      <c r="C52" t="str">
        <f ca="1"/>
        <v>CUR_MKT_CAP</v>
      </c>
      <c r="D52" s="4" t="str">
        <f ca="1"/>
        <v>4928.785900</v>
      </c>
      <c r="P52" t="s">
        <v>44</v>
      </c>
      <c r="R52" s="1"/>
    </row>
    <row r="53" spans="1:18" x14ac:dyDescent="0.25">
      <c r="A53" t="str">
        <f ca="1"/>
        <v>BMGB4 BZ Equity</v>
      </c>
      <c r="B53" t="str">
        <f ca="1"/>
        <v>2024-10-28</v>
      </c>
      <c r="C53" t="str">
        <f ca="1"/>
        <v>CUR_MKT_CAP</v>
      </c>
      <c r="D53" s="4" t="str">
        <f ca="1"/>
        <v>2362.091400</v>
      </c>
      <c r="P53" t="s">
        <v>45</v>
      </c>
      <c r="R53" s="1"/>
    </row>
    <row r="54" spans="1:18" x14ac:dyDescent="0.25">
      <c r="A54" t="str">
        <f ca="1"/>
        <v>FLRY3 BZ Equity</v>
      </c>
      <c r="B54" t="str">
        <f ca="1"/>
        <v>2024-10-28</v>
      </c>
      <c r="C54" t="str">
        <f ca="1"/>
        <v>CUR_MKT_CAP</v>
      </c>
      <c r="D54" s="4" t="str">
        <f ca="1"/>
        <v>8317.303500</v>
      </c>
      <c r="P54" t="s">
        <v>46</v>
      </c>
      <c r="R54" s="1"/>
    </row>
    <row r="55" spans="1:18" x14ac:dyDescent="0.25">
      <c r="A55" t="str">
        <f ca="1"/>
        <v>PETR3 BZ Equity</v>
      </c>
      <c r="B55" t="str">
        <f ca="1"/>
        <v>2024-10-28</v>
      </c>
      <c r="C55" t="str">
        <f ca="1"/>
        <v>CUR_MKT_CAP</v>
      </c>
      <c r="D55" s="4" t="str">
        <f ca="1"/>
        <v>493567.394800</v>
      </c>
      <c r="P55" t="s">
        <v>150</v>
      </c>
      <c r="R55" s="1"/>
    </row>
    <row r="56" spans="1:18" x14ac:dyDescent="0.25">
      <c r="A56" t="str">
        <f ca="1"/>
        <v>HYPE3 BZ Equity</v>
      </c>
      <c r="B56" t="str">
        <f ca="1"/>
        <v>2024-10-28</v>
      </c>
      <c r="C56" t="str">
        <f ca="1"/>
        <v>CUR_MKT_CAP</v>
      </c>
      <c r="D56" s="4" t="str">
        <f ca="1"/>
        <v>15550.480700</v>
      </c>
      <c r="P56" t="s">
        <v>47</v>
      </c>
      <c r="R56" s="1"/>
    </row>
    <row r="57" spans="1:18" x14ac:dyDescent="0.25">
      <c r="A57" t="str">
        <f ca="1"/>
        <v>JHSF3 BZ Equity</v>
      </c>
      <c r="B57" t="str">
        <f ca="1"/>
        <v>2024-10-28</v>
      </c>
      <c r="C57" t="str">
        <f ca="1"/>
        <v>CUR_MKT_CAP</v>
      </c>
      <c r="D57" s="4" t="str">
        <f ca="1"/>
        <v>3036.598400</v>
      </c>
      <c r="P57" t="s">
        <v>48</v>
      </c>
      <c r="R57" s="1"/>
    </row>
    <row r="58" spans="1:18" x14ac:dyDescent="0.25">
      <c r="A58" t="str">
        <f ca="1"/>
        <v>NTCO3 BZ Equity</v>
      </c>
      <c r="B58" t="str">
        <f ca="1"/>
        <v>2024-10-28</v>
      </c>
      <c r="C58" t="str">
        <f ca="1"/>
        <v>CUR_MKT_CAP</v>
      </c>
      <c r="D58" s="4" t="str">
        <f ca="1"/>
        <v>19776.453700</v>
      </c>
      <c r="P58" t="s">
        <v>49</v>
      </c>
      <c r="R58" s="1"/>
    </row>
    <row r="59" spans="1:18" x14ac:dyDescent="0.25">
      <c r="A59" t="str">
        <f ca="1"/>
        <v>YDUQ3 BZ Equity</v>
      </c>
      <c r="B59" t="str">
        <f ca="1"/>
        <v>2024-10-28</v>
      </c>
      <c r="C59" t="str">
        <f ca="1"/>
        <v>CUR_MKT_CAP</v>
      </c>
      <c r="D59" s="4" t="str">
        <f ca="1"/>
        <v>3365.977700</v>
      </c>
      <c r="P59" t="s">
        <v>50</v>
      </c>
      <c r="R59" s="1"/>
    </row>
    <row r="60" spans="1:18" x14ac:dyDescent="0.25">
      <c r="A60" t="str">
        <f ca="1"/>
        <v>FESA4 BZ Equity</v>
      </c>
      <c r="B60" t="str">
        <f ca="1"/>
        <v>2024-10-28</v>
      </c>
      <c r="C60" t="str">
        <f ca="1"/>
        <v>CUR_MKT_CAP</v>
      </c>
      <c r="D60" s="4" t="str">
        <f ca="1"/>
        <v>3294.924900</v>
      </c>
      <c r="P60" t="s">
        <v>51</v>
      </c>
      <c r="R60" s="1"/>
    </row>
    <row r="61" spans="1:18" x14ac:dyDescent="0.25">
      <c r="A61" t="str">
        <f ca="1"/>
        <v>VULC3 BZ Equity</v>
      </c>
      <c r="B61" t="str">
        <f ca="1"/>
        <v>2024-10-28</v>
      </c>
      <c r="C61" t="str">
        <f ca="1"/>
        <v>CUR_MKT_CAP</v>
      </c>
      <c r="D61" s="4" t="str">
        <f ca="1"/>
        <v>4493.376300</v>
      </c>
      <c r="P61" t="s">
        <v>52</v>
      </c>
      <c r="R61" s="1"/>
    </row>
    <row r="62" spans="1:18" x14ac:dyDescent="0.25">
      <c r="A62" t="str">
        <f ca="1"/>
        <v>LWSA3 BZ Equity</v>
      </c>
      <c r="B62" t="str">
        <f ca="1"/>
        <v>2024-10-28</v>
      </c>
      <c r="C62" t="str">
        <f ca="1"/>
        <v>CUR_MKT_CAP</v>
      </c>
      <c r="D62" s="4" t="str">
        <f ca="1"/>
        <v>2644.207000</v>
      </c>
      <c r="P62" t="s">
        <v>53</v>
      </c>
      <c r="R62" s="1"/>
    </row>
    <row r="63" spans="1:18" x14ac:dyDescent="0.25">
      <c r="A63" t="str">
        <f ca="1"/>
        <v>TCSA3 BZ Equity</v>
      </c>
      <c r="B63" t="str">
        <f ca="1"/>
        <v>2024-10-28</v>
      </c>
      <c r="C63" t="str">
        <f ca="1"/>
        <v>CUR_MKT_CAP</v>
      </c>
      <c r="D63" s="4" t="str">
        <f ca="1"/>
        <v>104.539300</v>
      </c>
      <c r="P63" t="s">
        <v>151</v>
      </c>
      <c r="R63" s="1"/>
    </row>
    <row r="64" spans="1:18" x14ac:dyDescent="0.25">
      <c r="A64" t="str">
        <f ca="1"/>
        <v>BRBI11 BZ Equity</v>
      </c>
      <c r="B64" t="str">
        <f ca="1"/>
        <v>2024-10-28</v>
      </c>
      <c r="C64" t="str">
        <f ca="1"/>
        <v>CUR_MKT_CAP</v>
      </c>
      <c r="D64" s="4" t="str">
        <f ca="1"/>
        <v>1570.735700</v>
      </c>
      <c r="P64" t="s">
        <v>54</v>
      </c>
      <c r="R64" s="1"/>
    </row>
    <row r="65" spans="1:18" x14ac:dyDescent="0.25">
      <c r="A65" t="str">
        <f ca="1"/>
        <v>ANIM3 BZ Equity</v>
      </c>
      <c r="B65" t="str">
        <f ca="1"/>
        <v>2024-10-28</v>
      </c>
      <c r="C65" t="str">
        <f ca="1"/>
        <v>CUR_MKT_CAP</v>
      </c>
      <c r="D65" s="4" t="str">
        <f ca="1"/>
        <v>1078.329700</v>
      </c>
      <c r="P65" t="s">
        <v>55</v>
      </c>
      <c r="R65" s="1"/>
    </row>
    <row r="66" spans="1:18" x14ac:dyDescent="0.25">
      <c r="A66" t="str">
        <f ca="1"/>
        <v>VIVA3 BZ Equity</v>
      </c>
      <c r="B66" t="str">
        <f ca="1"/>
        <v>2024-10-28</v>
      </c>
      <c r="C66" t="str">
        <f ca="1"/>
        <v>CUR_MKT_CAP</v>
      </c>
      <c r="D66" s="4" t="str">
        <f ca="1"/>
        <v>5945.097900</v>
      </c>
      <c r="P66" t="s">
        <v>56</v>
      </c>
      <c r="R66" s="1"/>
    </row>
    <row r="67" spans="1:18" x14ac:dyDescent="0.25">
      <c r="A67" t="str">
        <f ca="1"/>
        <v>IGTI3 BZ Equity</v>
      </c>
      <c r="B67" t="str">
        <f ca="1"/>
        <v>2024-10-28</v>
      </c>
      <c r="C67" t="str">
        <f ca="1"/>
        <v>CUR_MKT_CAP</v>
      </c>
      <c r="D67" s="4" t="str">
        <f ca="1"/>
        <v>3105.724300</v>
      </c>
      <c r="P67" t="s">
        <v>57</v>
      </c>
      <c r="R67" s="1"/>
    </row>
    <row r="68" spans="1:18" x14ac:dyDescent="0.25">
      <c r="A68" t="str">
        <f ca="1"/>
        <v>HBOR3 BZ Equity</v>
      </c>
      <c r="B68" t="str">
        <f ca="1"/>
        <v>2024-10-28</v>
      </c>
      <c r="C68" t="str">
        <f ca="1"/>
        <v>CUR_MKT_CAP</v>
      </c>
      <c r="D68" s="4" t="str">
        <f ca="1"/>
        <v>248.963000</v>
      </c>
      <c r="P68" t="s">
        <v>139</v>
      </c>
      <c r="R68" s="1"/>
    </row>
    <row r="69" spans="1:18" x14ac:dyDescent="0.25">
      <c r="A69" t="str">
        <f ca="1"/>
        <v>VAMO3 BZ Equity</v>
      </c>
      <c r="B69" t="str">
        <f ca="1"/>
        <v>2024-10-28</v>
      </c>
      <c r="C69" t="str">
        <f ca="1"/>
        <v>CUR_MKT_CAP</v>
      </c>
      <c r="D69" s="4" t="str">
        <f ca="1"/>
        <v>6935.158500</v>
      </c>
      <c r="P69" t="s">
        <v>58</v>
      </c>
      <c r="R69" s="1"/>
    </row>
    <row r="70" spans="1:18" x14ac:dyDescent="0.25">
      <c r="A70" t="str">
        <f ca="1"/>
        <v>MOVI3 BZ Equity</v>
      </c>
      <c r="B70" t="str">
        <f ca="1"/>
        <v>2024-10-28</v>
      </c>
      <c r="C70" t="str">
        <f ca="1"/>
        <v>CUR_MKT_CAP</v>
      </c>
      <c r="D70" s="4" t="str">
        <f ca="1"/>
        <v>2228.157900</v>
      </c>
      <c r="P70" t="s">
        <v>59</v>
      </c>
      <c r="R70" s="1"/>
    </row>
    <row r="71" spans="1:18" x14ac:dyDescent="0.25">
      <c r="A71" t="str">
        <f ca="1"/>
        <v>VAMO3 BZ Equity</v>
      </c>
      <c r="B71" t="str">
        <f ca="1"/>
        <v>2024-10-28</v>
      </c>
      <c r="C71" t="str">
        <f ca="1"/>
        <v>CUR_MKT_CAP</v>
      </c>
      <c r="D71" s="4" t="str">
        <f ca="1"/>
        <v>6935.158500</v>
      </c>
      <c r="P71" t="s">
        <v>60</v>
      </c>
      <c r="R71" s="1"/>
    </row>
    <row r="72" spans="1:18" x14ac:dyDescent="0.25">
      <c r="A72" t="str">
        <f ca="1"/>
        <v>JSLG3 BZ Equity</v>
      </c>
      <c r="B72" t="str">
        <f ca="1"/>
        <v>2024-10-28</v>
      </c>
      <c r="C72" t="str">
        <f ca="1"/>
        <v>CUR_MKT_CAP</v>
      </c>
      <c r="D72" s="4" t="str">
        <f ca="1"/>
        <v>2239.891100</v>
      </c>
      <c r="P72" t="s">
        <v>61</v>
      </c>
      <c r="R72" s="1"/>
    </row>
    <row r="73" spans="1:18" x14ac:dyDescent="0.25">
      <c r="A73" t="str">
        <f ca="1"/>
        <v>CBAV3 BZ Equity</v>
      </c>
      <c r="B73" t="str">
        <f ca="1"/>
        <v>2024-10-28</v>
      </c>
      <c r="C73" t="str">
        <f ca="1"/>
        <v>CUR_MKT_CAP</v>
      </c>
      <c r="D73" s="4" t="str">
        <f ca="1"/>
        <v>3925.968500</v>
      </c>
      <c r="P73" t="s">
        <v>62</v>
      </c>
      <c r="R73" s="1"/>
    </row>
    <row r="74" spans="1:18" x14ac:dyDescent="0.25">
      <c r="A74" t="str">
        <f ca="1"/>
        <v>LJQQ3 BZ Equity</v>
      </c>
      <c r="B74" t="str">
        <f ca="1"/>
        <v>2024-10-28</v>
      </c>
      <c r="C74" t="str">
        <f ca="1"/>
        <v>CUR_MKT_CAP</v>
      </c>
      <c r="D74" s="4" t="str">
        <f ca="1"/>
        <v>565.710900</v>
      </c>
      <c r="P74" t="s">
        <v>63</v>
      </c>
      <c r="R74" s="1"/>
    </row>
    <row r="75" spans="1:18" x14ac:dyDescent="0.25">
      <c r="A75" t="str">
        <f ca="1"/>
        <v>MOVI3 BZ Equity</v>
      </c>
      <c r="B75" t="str">
        <f ca="1"/>
        <v>2024-10-28</v>
      </c>
      <c r="C75" t="str">
        <f ca="1"/>
        <v>CUR_MKT_CAP</v>
      </c>
      <c r="D75" s="4" t="str">
        <f ca="1"/>
        <v>2228.157900</v>
      </c>
      <c r="P75" t="s">
        <v>152</v>
      </c>
      <c r="R75" s="1"/>
    </row>
    <row r="76" spans="1:18" x14ac:dyDescent="0.25">
      <c r="A76" t="str">
        <f ca="1"/>
        <v>VSTE3 BZ Equity</v>
      </c>
      <c r="B76" t="str">
        <f ca="1"/>
        <v>2024-10-28</v>
      </c>
      <c r="C76" t="str">
        <f ca="1"/>
        <v>CUR_MKT_CAP</v>
      </c>
      <c r="D76" s="4" t="str">
        <f ca="1"/>
        <v>1134.305100</v>
      </c>
      <c r="P76" t="s">
        <v>64</v>
      </c>
      <c r="R76" s="1"/>
    </row>
    <row r="77" spans="1:18" x14ac:dyDescent="0.25">
      <c r="A77" t="str">
        <f ca="1"/>
        <v>BMOB3 BZ Equity</v>
      </c>
      <c r="B77" t="str">
        <f ca="1"/>
        <v>2024-10-28</v>
      </c>
      <c r="C77" t="str">
        <f ca="1"/>
        <v>CUR_MKT_CAP</v>
      </c>
      <c r="D77" s="4" t="str">
        <f ca="1"/>
        <v>1318.369200</v>
      </c>
      <c r="P77" t="s">
        <v>65</v>
      </c>
      <c r="R77" s="1"/>
    </row>
    <row r="78" spans="1:18" x14ac:dyDescent="0.25">
      <c r="A78" t="str">
        <f ca="1"/>
        <v>TTEN3 BZ Equity</v>
      </c>
      <c r="B78" t="str">
        <f ca="1"/>
        <v>2024-10-28</v>
      </c>
      <c r="C78" t="str">
        <f ca="1"/>
        <v>CUR_MKT_CAP</v>
      </c>
      <c r="D78" s="4" t="str">
        <f ca="1"/>
        <v>5720.456800</v>
      </c>
      <c r="P78" t="s">
        <v>153</v>
      </c>
      <c r="R78" s="1"/>
    </row>
    <row r="79" spans="1:18" x14ac:dyDescent="0.25">
      <c r="A79" t="str">
        <f ca="1"/>
        <v>BRSR6 BZ Equity</v>
      </c>
      <c r="B79" t="str">
        <f ca="1"/>
        <v>2024-10-28</v>
      </c>
      <c r="C79" t="str">
        <f ca="1"/>
        <v>CUR_MKT_CAP</v>
      </c>
      <c r="D79" s="4" t="str">
        <f ca="1"/>
        <v>4920.346300</v>
      </c>
      <c r="P79" t="s">
        <v>66</v>
      </c>
      <c r="R79" s="1"/>
    </row>
    <row r="80" spans="1:18" x14ac:dyDescent="0.25">
      <c r="A80" t="str">
        <f ca="1"/>
        <v>ENJU3 BZ Equity</v>
      </c>
      <c r="B80" t="str">
        <f ca="1"/>
        <v>2024-10-28</v>
      </c>
      <c r="C80" t="str">
        <f ca="1"/>
        <v>CUR_MKT_CAP</v>
      </c>
      <c r="D80" s="4" t="str">
        <f ca="1"/>
        <v>260.372800</v>
      </c>
      <c r="P80" t="s">
        <v>67</v>
      </c>
      <c r="R80" s="1"/>
    </row>
    <row r="81" spans="1:18" x14ac:dyDescent="0.25">
      <c r="A81" t="str">
        <f ca="1"/>
        <v>AESB3 BZ Equity</v>
      </c>
      <c r="B81" t="str">
        <f ca="1"/>
        <v>2024-10-28</v>
      </c>
      <c r="C81" t="str">
        <f ca="1"/>
        <v>CUR_MKT_CAP</v>
      </c>
      <c r="D81" s="4" t="str">
        <f ca="1"/>
        <v>5696.202800</v>
      </c>
      <c r="P81" t="s">
        <v>154</v>
      </c>
      <c r="R81" s="1"/>
    </row>
    <row r="82" spans="1:18" x14ac:dyDescent="0.25">
      <c r="A82" t="str">
        <f ca="1"/>
        <v>ARML3 BZ Equity</v>
      </c>
      <c r="B82" t="str">
        <f ca="1"/>
        <v>2024-10-28</v>
      </c>
      <c r="C82" t="str">
        <f ca="1"/>
        <v>CUR_MKT_CAP</v>
      </c>
      <c r="D82" s="4" t="str">
        <f ca="1"/>
        <v>2560.591300</v>
      </c>
      <c r="P82" t="s">
        <v>68</v>
      </c>
      <c r="R82" s="1"/>
    </row>
    <row r="83" spans="1:18" x14ac:dyDescent="0.25">
      <c r="A83" t="str">
        <f ca="1"/>
        <v>TIMS3 BZ Equity</v>
      </c>
      <c r="B83" t="str">
        <f ca="1"/>
        <v>2024-10-28</v>
      </c>
      <c r="C83" t="str">
        <f ca="1"/>
        <v>CUR_MKT_CAP</v>
      </c>
      <c r="D83" s="4" t="str">
        <f ca="1"/>
        <v>41879.914200</v>
      </c>
      <c r="P83" t="s">
        <v>155</v>
      </c>
      <c r="R83" s="1"/>
    </row>
    <row r="84" spans="1:18" x14ac:dyDescent="0.25">
      <c r="A84" t="str">
        <f ca="1"/>
        <v>DXCO3 BZ Equity</v>
      </c>
      <c r="B84" t="str">
        <f ca="1"/>
        <v>2024-10-28</v>
      </c>
      <c r="C84" t="str">
        <f ca="1"/>
        <v>CUR_MKT_CAP</v>
      </c>
      <c r="D84" s="4" t="str">
        <f ca="1"/>
        <v>6974.813100</v>
      </c>
      <c r="P84" t="s">
        <v>69</v>
      </c>
      <c r="R84" s="1"/>
    </row>
    <row r="85" spans="1:18" x14ac:dyDescent="0.25">
      <c r="A85" t="str">
        <f ca="1"/>
        <v>SIMH3 BZ Equity</v>
      </c>
      <c r="B85" t="str">
        <f ca="1"/>
        <v>2024-10-28</v>
      </c>
      <c r="C85" t="str">
        <f ca="1"/>
        <v>CUR_MKT_CAP</v>
      </c>
      <c r="D85" s="4" t="str">
        <f ca="1"/>
        <v>4801.722900</v>
      </c>
      <c r="P85" t="s">
        <v>70</v>
      </c>
      <c r="R85" s="1"/>
    </row>
    <row r="86" spans="1:18" x14ac:dyDescent="0.25">
      <c r="A86" t="str">
        <f ca="1"/>
        <v>DASA3 BZ Equity</v>
      </c>
      <c r="B86" t="str">
        <f ca="1"/>
        <v>2024-10-28</v>
      </c>
      <c r="C86" t="str">
        <f ca="1"/>
        <v>CUR_MKT_CAP</v>
      </c>
      <c r="D86" s="4" t="str">
        <f ca="1"/>
        <v>1994.919700</v>
      </c>
      <c r="P86" t="s">
        <v>71</v>
      </c>
      <c r="R86" s="1"/>
    </row>
    <row r="87" spans="1:18" x14ac:dyDescent="0.25">
      <c r="A87" t="str">
        <f ca="1"/>
        <v>TIMS3 BZ Equity</v>
      </c>
      <c r="B87" t="str">
        <f ca="1"/>
        <v>2024-10-28</v>
      </c>
      <c r="C87" t="str">
        <f ca="1"/>
        <v>CUR_MKT_CAP</v>
      </c>
      <c r="D87" s="4" t="str">
        <f ca="1"/>
        <v>41879.914200</v>
      </c>
      <c r="P87" t="s">
        <v>156</v>
      </c>
      <c r="R87" s="1"/>
    </row>
    <row r="88" spans="1:18" x14ac:dyDescent="0.25">
      <c r="A88" t="str">
        <f ca="1"/>
        <v>RAIL3 BZ Equity</v>
      </c>
      <c r="B88" t="str">
        <f ca="1"/>
        <v>2024-10-28</v>
      </c>
      <c r="C88" t="str">
        <f ca="1"/>
        <v>CUR_MKT_CAP</v>
      </c>
      <c r="D88" s="4" t="str">
        <f ca="1"/>
        <v>36559.465300</v>
      </c>
      <c r="P88" t="s">
        <v>72</v>
      </c>
      <c r="R88" s="1"/>
    </row>
    <row r="89" spans="1:18" x14ac:dyDescent="0.25">
      <c r="A89" t="str">
        <f ca="1"/>
        <v>ONCO3 BZ Equity</v>
      </c>
      <c r="B89" t="str">
        <f ca="1"/>
        <v>2024-10-28</v>
      </c>
      <c r="C89" t="str">
        <f ca="1"/>
        <v>CUR_MKT_CAP</v>
      </c>
      <c r="D89" s="4" t="str">
        <f ca="1"/>
        <v>3037.184300</v>
      </c>
      <c r="P89" t="s">
        <v>73</v>
      </c>
      <c r="R89" s="1"/>
    </row>
    <row r="90" spans="1:18" x14ac:dyDescent="0.25">
      <c r="A90" t="str">
        <f ca="1"/>
        <v>NEOE3 BZ Equity</v>
      </c>
      <c r="B90" t="str">
        <f ca="1"/>
        <v>2024-10-28</v>
      </c>
      <c r="C90" t="str">
        <f ca="1"/>
        <v>CUR_MKT_CAP</v>
      </c>
      <c r="D90" s="4" t="str">
        <f ca="1"/>
        <v>23426.286000</v>
      </c>
      <c r="P90" t="s">
        <v>74</v>
      </c>
      <c r="R90" s="1"/>
    </row>
    <row r="91" spans="1:18" x14ac:dyDescent="0.25">
      <c r="A91" t="str">
        <f ca="1"/>
        <v>PCAR3 BZ Equity</v>
      </c>
      <c r="B91" t="str">
        <f ca="1"/>
        <v>2024-10-28</v>
      </c>
      <c r="C91" t="str">
        <f ca="1"/>
        <v>CUR_MKT_CAP</v>
      </c>
      <c r="D91" s="4" t="str">
        <f ca="1"/>
        <v>1573.468200</v>
      </c>
      <c r="P91" t="s">
        <v>75</v>
      </c>
      <c r="R91" s="1"/>
    </row>
    <row r="92" spans="1:18" x14ac:dyDescent="0.25">
      <c r="A92" t="str">
        <f ca="1"/>
        <v>INBR32 BZ Equity</v>
      </c>
      <c r="B92" t="str">
        <f ca="1"/>
        <v>2024-10-28</v>
      </c>
      <c r="C92" t="str">
        <f ca="1"/>
        <v>CUR_MKT_CAP</v>
      </c>
      <c r="D92" s="4" t="str">
        <f ca="1"/>
        <v>16738.709800</v>
      </c>
      <c r="P92" t="s">
        <v>76</v>
      </c>
      <c r="R92" s="1"/>
    </row>
    <row r="93" spans="1:18" x14ac:dyDescent="0.25">
      <c r="A93" t="str">
        <f ca="1"/>
        <v>TOTS3 BZ Equity</v>
      </c>
      <c r="B93" t="str">
        <f ca="1"/>
        <v>2024-10-28</v>
      </c>
      <c r="C93" t="str">
        <f ca="1"/>
        <v>CUR_MKT_CAP</v>
      </c>
      <c r="D93" s="4" t="str">
        <f ca="1"/>
        <v>18046.436100</v>
      </c>
      <c r="P93" t="s">
        <v>77</v>
      </c>
      <c r="R93" s="1"/>
    </row>
    <row r="94" spans="1:18" x14ac:dyDescent="0.25">
      <c r="A94" t="str">
        <f ca="1"/>
        <v>AZUL4 BZ Equity</v>
      </c>
      <c r="B94" t="str">
        <f ca="1"/>
        <v>2024-10-28</v>
      </c>
      <c r="C94" t="str">
        <f ca="1"/>
        <v>CUR_MKT_CAP</v>
      </c>
      <c r="D94" s="4" t="str">
        <f ca="1"/>
        <v>2064.450500</v>
      </c>
      <c r="P94" t="s">
        <v>79</v>
      </c>
      <c r="R94" s="1"/>
    </row>
    <row r="95" spans="1:18" x14ac:dyDescent="0.25">
      <c r="A95" t="str">
        <f ca="1"/>
        <v>CPLE6 BZ Equity</v>
      </c>
      <c r="B95" t="str">
        <f ca="1"/>
        <v>2024-10-28</v>
      </c>
      <c r="C95" t="str">
        <f ca="1"/>
        <v>CUR_MKT_CAP</v>
      </c>
      <c r="D95" s="4" t="str">
        <f ca="1"/>
        <v>27731.657500</v>
      </c>
      <c r="P95" t="s">
        <v>80</v>
      </c>
      <c r="R95" s="1"/>
    </row>
    <row r="96" spans="1:18" x14ac:dyDescent="0.25">
      <c r="A96" t="str">
        <f ca="1"/>
        <v>ITSA4 BZ Equity</v>
      </c>
      <c r="B96" t="str">
        <f ca="1"/>
        <v>2024-10-28</v>
      </c>
      <c r="C96" t="str">
        <f ca="1"/>
        <v>CUR_MKT_CAP</v>
      </c>
      <c r="D96" s="4" t="str">
        <f ca="1"/>
        <v>109507.815900</v>
      </c>
      <c r="P96" t="s">
        <v>81</v>
      </c>
      <c r="R96" s="1"/>
    </row>
    <row r="97" spans="1:18" x14ac:dyDescent="0.25">
      <c r="A97" t="str">
        <f ca="1"/>
        <v>AZZA3 BZ Equity</v>
      </c>
      <c r="B97" t="str">
        <f ca="1"/>
        <v>2024-10-28</v>
      </c>
      <c r="C97" t="str">
        <f ca="1"/>
        <v>CUR_MKT_CAP</v>
      </c>
      <c r="D97" s="4" t="str">
        <f ca="1"/>
        <v>8430.979400</v>
      </c>
      <c r="P97" t="s">
        <v>157</v>
      </c>
      <c r="R97" s="1"/>
    </row>
    <row r="98" spans="1:18" x14ac:dyDescent="0.25">
      <c r="A98" t="str">
        <f ca="1"/>
        <v>COGN3 BZ Equity</v>
      </c>
      <c r="B98" t="str">
        <f ca="1"/>
        <v>2024-10-28</v>
      </c>
      <c r="C98" t="str">
        <f ca="1"/>
        <v>CUR_MKT_CAP</v>
      </c>
      <c r="D98" s="4" t="str">
        <f ca="1"/>
        <v>2721.079100</v>
      </c>
      <c r="P98" t="s">
        <v>82</v>
      </c>
      <c r="R98" s="1"/>
    </row>
    <row r="99" spans="1:18" x14ac:dyDescent="0.25">
      <c r="A99" t="str">
        <f ca="1"/>
        <v>VBBR3 BZ Equity</v>
      </c>
      <c r="B99" t="str">
        <f ca="1"/>
        <v>2024-10-28</v>
      </c>
      <c r="C99" t="str">
        <f ca="1"/>
        <v>CUR_MKT_CAP</v>
      </c>
      <c r="D99" s="4" t="str">
        <f ca="1"/>
        <v>25121.550900</v>
      </c>
      <c r="P99" t="s">
        <v>83</v>
      </c>
      <c r="R99" s="1"/>
    </row>
    <row r="100" spans="1:18" x14ac:dyDescent="0.25">
      <c r="A100" t="str">
        <f ca="1"/>
        <v>UGPA3 BZ Equity</v>
      </c>
      <c r="B100" t="str">
        <f ca="1"/>
        <v>2024-10-28</v>
      </c>
      <c r="C100" t="str">
        <f ca="1"/>
        <v>CUR_MKT_CAP</v>
      </c>
      <c r="D100" s="4" t="str">
        <f ca="1"/>
        <v>23546.184800</v>
      </c>
      <c r="P100" t="s">
        <v>158</v>
      </c>
      <c r="R100" s="1"/>
    </row>
    <row r="101" spans="1:18" x14ac:dyDescent="0.25">
      <c r="A101" t="str">
        <f ca="1"/>
        <v>ELET3 BZ Equity</v>
      </c>
      <c r="B101" t="str">
        <f ca="1"/>
        <v>2024-10-28</v>
      </c>
      <c r="C101" t="str">
        <f ca="1"/>
        <v>CUR_MKT_CAP</v>
      </c>
      <c r="D101" s="4" t="str">
        <f ca="1"/>
        <v>89481.313900</v>
      </c>
      <c r="P101" t="s">
        <v>84</v>
      </c>
      <c r="R101" s="1"/>
    </row>
    <row r="102" spans="1:18" x14ac:dyDescent="0.25">
      <c r="A102" t="str">
        <f ca="1"/>
        <v>BEEF3 BZ Equity</v>
      </c>
      <c r="B102" t="str">
        <f ca="1"/>
        <v>2024-10-28</v>
      </c>
      <c r="C102" t="str">
        <f ca="1"/>
        <v>CUR_MKT_CAP</v>
      </c>
      <c r="D102" s="4" t="str">
        <f ca="1"/>
        <v>3400.787000</v>
      </c>
      <c r="P102" t="s">
        <v>85</v>
      </c>
      <c r="R102" s="1"/>
    </row>
    <row r="103" spans="1:18" x14ac:dyDescent="0.25">
      <c r="A103" t="str">
        <f ca="1"/>
        <v>RADL3 BZ Equity</v>
      </c>
      <c r="B103" t="str">
        <f ca="1"/>
        <v>2024-10-28</v>
      </c>
      <c r="C103" t="str">
        <f ca="1"/>
        <v>CUR_MKT_CAP</v>
      </c>
      <c r="D103" s="4" t="str">
        <f ca="1"/>
        <v>42091.176400</v>
      </c>
      <c r="P103" t="s">
        <v>84</v>
      </c>
      <c r="R103" s="1"/>
    </row>
    <row r="104" spans="1:18" x14ac:dyDescent="0.25">
      <c r="A104" t="str">
        <f ca="1"/>
        <v>AMER3 BZ Equity</v>
      </c>
      <c r="B104" t="str">
        <f ca="1"/>
        <v>2024-10-28</v>
      </c>
      <c r="C104" t="str">
        <f ca="1"/>
        <v>CUR_MKT_CAP</v>
      </c>
      <c r="D104" s="4" t="str">
        <f ca="1"/>
        <v>778.851000</v>
      </c>
      <c r="P104" t="s">
        <v>159</v>
      </c>
      <c r="R104" s="1"/>
    </row>
    <row r="105" spans="1:18" x14ac:dyDescent="0.25">
      <c r="A105" t="str">
        <f ca="1"/>
        <v>MULT3 BZ Equity</v>
      </c>
      <c r="B105" t="str">
        <f ca="1"/>
        <v>2024-10-28</v>
      </c>
      <c r="C105" t="str">
        <f ca="1"/>
        <v>CUR_MKT_CAP</v>
      </c>
      <c r="D105" s="4" t="str">
        <f ca="1"/>
        <v>14563.943900</v>
      </c>
      <c r="P105" t="s">
        <v>86</v>
      </c>
      <c r="R105" s="1"/>
    </row>
    <row r="106" spans="1:18" x14ac:dyDescent="0.25">
      <c r="A106" t="str">
        <f ca="1"/>
        <v>DIRR3 BZ Equity</v>
      </c>
      <c r="B106" t="str">
        <f ca="1"/>
        <v>2024-10-28</v>
      </c>
      <c r="C106" t="str">
        <f ca="1"/>
        <v>CUR_MKT_CAP</v>
      </c>
      <c r="D106" s="4" t="str">
        <f ca="1"/>
        <v>5305.630000</v>
      </c>
      <c r="P106" t="s">
        <v>87</v>
      </c>
      <c r="R106" s="1"/>
    </row>
    <row r="107" spans="1:18" x14ac:dyDescent="0.25">
      <c r="A107" t="str">
        <f ca="1"/>
        <v>LIGT3 BZ Equity</v>
      </c>
      <c r="B107" t="str">
        <f ca="1"/>
        <v>2024-10-28</v>
      </c>
      <c r="C107" t="str">
        <f ca="1"/>
        <v>CUR_MKT_CAP</v>
      </c>
      <c r="D107" s="4" t="str">
        <f ca="1"/>
        <v>2294.940700</v>
      </c>
      <c r="P107" t="s">
        <v>85</v>
      </c>
      <c r="R107" s="1"/>
    </row>
    <row r="108" spans="1:18" x14ac:dyDescent="0.25">
      <c r="A108" t="str">
        <f ca="1"/>
        <v>CASH3 BZ Equity</v>
      </c>
      <c r="B108" t="str">
        <f ca="1"/>
        <v>2024-10-28</v>
      </c>
      <c r="C108" t="str">
        <f ca="1"/>
        <v>CUR_MKT_CAP</v>
      </c>
      <c r="D108" s="4" t="str">
        <f ca="1"/>
        <v>307.707500</v>
      </c>
      <c r="P108" t="s">
        <v>88</v>
      </c>
      <c r="R108" s="1"/>
    </row>
    <row r="109" spans="1:18" x14ac:dyDescent="0.25">
      <c r="A109" t="str">
        <f ca="1"/>
        <v>TFCO4 BZ Equity</v>
      </c>
      <c r="B109" t="str">
        <f ca="1"/>
        <v>2024-10-28</v>
      </c>
      <c r="C109" t="str">
        <f ca="1"/>
        <v>CUR_MKT_CAP</v>
      </c>
      <c r="D109" s="4" t="str">
        <f ca="1"/>
        <v>1688.219200</v>
      </c>
      <c r="P109" t="s">
        <v>9</v>
      </c>
      <c r="R109" s="1"/>
    </row>
    <row r="110" spans="1:18" x14ac:dyDescent="0.25">
      <c r="A110" t="str">
        <f ca="1"/>
        <v>AERI3 BZ Equity</v>
      </c>
      <c r="B110" t="str">
        <f ca="1"/>
        <v>2024-10-28</v>
      </c>
      <c r="C110" t="str">
        <f ca="1"/>
        <v>CUR_MKT_CAP</v>
      </c>
      <c r="D110" s="4" t="str">
        <f ca="1"/>
        <v>402.538900</v>
      </c>
      <c r="P110" t="s">
        <v>160</v>
      </c>
      <c r="R110" s="1"/>
    </row>
    <row r="111" spans="1:18" x14ac:dyDescent="0.25">
      <c r="A111" t="str">
        <f ca="1"/>
        <v>BRAP3 BZ Equity</v>
      </c>
      <c r="B111" t="str">
        <f ca="1"/>
        <v>2024-10-28</v>
      </c>
      <c r="C111" t="str">
        <f ca="1"/>
        <v>CUR_MKT_CAP</v>
      </c>
      <c r="D111" s="4" t="str">
        <f ca="1"/>
        <v>7539.151800</v>
      </c>
      <c r="P111" t="s">
        <v>89</v>
      </c>
      <c r="R111" s="1"/>
    </row>
    <row r="112" spans="1:18" x14ac:dyDescent="0.25">
      <c r="A112" t="str">
        <f ca="1"/>
        <v>IFCM3 BZ Equity</v>
      </c>
      <c r="B112" t="str">
        <f ca="1"/>
        <v>2024-10-28</v>
      </c>
      <c r="C112" t="str">
        <f ca="1"/>
        <v>CUR_MKT_CAP</v>
      </c>
      <c r="D112" t="str">
        <f ca="1"/>
        <v>89.247700</v>
      </c>
      <c r="P112" t="s">
        <v>161</v>
      </c>
      <c r="R112" s="1"/>
    </row>
    <row r="113" spans="1:18" x14ac:dyDescent="0.25">
      <c r="A113" t="str">
        <f ca="1"/>
        <v>AMAR3 BZ Equity</v>
      </c>
      <c r="B113" t="str">
        <f ca="1"/>
        <v>2024-10-28</v>
      </c>
      <c r="C113" t="str">
        <f ca="1"/>
        <v>CUR_MKT_CAP</v>
      </c>
      <c r="D113" t="str">
        <f ca="1"/>
        <v>498.052400</v>
      </c>
      <c r="P113" t="s">
        <v>162</v>
      </c>
      <c r="R113" s="1"/>
    </row>
    <row r="114" spans="1:18" x14ac:dyDescent="0.25">
      <c r="A114" t="str">
        <f ca="1"/>
        <v>ABCB4 BZ Equity</v>
      </c>
      <c r="B114" t="str">
        <f ca="1"/>
        <v>2024-10-28</v>
      </c>
      <c r="C114" t="str">
        <f ca="1"/>
        <v>CUR_MKT_CAP</v>
      </c>
      <c r="D114" t="str">
        <f ca="1"/>
        <v>5220.977400</v>
      </c>
      <c r="P114" t="s">
        <v>163</v>
      </c>
      <c r="R114" s="1"/>
    </row>
    <row r="115" spans="1:18" x14ac:dyDescent="0.25">
      <c r="A115" t="str">
        <f ca="1"/>
        <v>PORT3 BZ Equity</v>
      </c>
      <c r="B115" t="str">
        <f ca="1"/>
        <v>2024-10-28</v>
      </c>
      <c r="C115" t="str">
        <f ca="1"/>
        <v>CUR_MKT_CAP</v>
      </c>
      <c r="D115" t="str">
        <f ca="1"/>
        <v>7009.023300</v>
      </c>
      <c r="P115" t="s">
        <v>91</v>
      </c>
      <c r="R115" s="1"/>
    </row>
    <row r="116" spans="1:18" x14ac:dyDescent="0.25">
      <c r="A116" t="str">
        <f ca="1"/>
        <v>HAPV3 BZ Equity</v>
      </c>
      <c r="B116" t="str">
        <f ca="1"/>
        <v>2024-10-28</v>
      </c>
      <c r="C116" t="str">
        <f ca="1"/>
        <v>CUR_MKT_CAP</v>
      </c>
      <c r="D116" t="str">
        <f ca="1"/>
        <v>27896.014400</v>
      </c>
      <c r="P116" t="s">
        <v>92</v>
      </c>
      <c r="R116" s="1"/>
    </row>
    <row r="117" spans="1:18" x14ac:dyDescent="0.25">
      <c r="A117" t="str">
        <f ca="1"/>
        <v>RDOR3 BZ Equity</v>
      </c>
      <c r="B117" t="str">
        <f ca="1"/>
        <v>2024-10-28</v>
      </c>
      <c r="C117" t="str">
        <f ca="1"/>
        <v>CUR_MKT_CAP</v>
      </c>
      <c r="D117" t="str">
        <f ca="1"/>
        <v>68793.240600</v>
      </c>
      <c r="P117" t="s">
        <v>93</v>
      </c>
      <c r="R117" s="1"/>
    </row>
    <row r="118" spans="1:18" x14ac:dyDescent="0.25">
      <c r="A118" t="str">
        <f ca="1"/>
        <v>B3SA3 BZ Equity</v>
      </c>
      <c r="B118" t="str">
        <f ca="1"/>
        <v>2024-10-28</v>
      </c>
      <c r="C118" t="str">
        <f ca="1"/>
        <v>CUR_MKT_CAP</v>
      </c>
      <c r="D118" t="str">
        <f ca="1"/>
        <v>58714.728300</v>
      </c>
      <c r="P118" t="s">
        <v>164</v>
      </c>
      <c r="R118" s="1"/>
    </row>
    <row r="119" spans="1:18" x14ac:dyDescent="0.25">
      <c r="A119" t="str">
        <f ca="1"/>
        <v>RENT3 BZ Equity</v>
      </c>
      <c r="B119" t="str">
        <f ca="1"/>
        <v>2024-10-28</v>
      </c>
      <c r="C119" t="str">
        <f ca="1"/>
        <v>CUR_MKT_CAP</v>
      </c>
      <c r="D119" t="str">
        <f ca="1"/>
        <v>46511.177300</v>
      </c>
      <c r="P119" t="s">
        <v>94</v>
      </c>
      <c r="R119" s="1"/>
    </row>
    <row r="120" spans="1:18" x14ac:dyDescent="0.25">
      <c r="A120" t="str">
        <f ca="1"/>
        <v>BRFS3 BZ Equity</v>
      </c>
      <c r="B120" t="str">
        <f ca="1"/>
        <v>2024-10-28</v>
      </c>
      <c r="C120" t="str">
        <f ca="1"/>
        <v>CUR_MKT_CAP</v>
      </c>
      <c r="D120" t="str">
        <f ca="1"/>
        <v>42717.994700</v>
      </c>
      <c r="P120" t="s">
        <v>165</v>
      </c>
      <c r="R120" s="1"/>
    </row>
    <row r="121" spans="1:18" x14ac:dyDescent="0.25">
      <c r="A121" t="str">
        <f ca="1"/>
        <v>CSAN3 BZ Equity</v>
      </c>
      <c r="B121" t="str">
        <f ca="1"/>
        <v>2024-10-28</v>
      </c>
      <c r="C121" t="str">
        <f ca="1"/>
        <v>CUR_MKT_CAP</v>
      </c>
      <c r="D121" t="str">
        <f ca="1"/>
        <v>22772.165000</v>
      </c>
      <c r="P121" t="s">
        <v>95</v>
      </c>
      <c r="R121" s="1"/>
    </row>
    <row r="122" spans="1:18" x14ac:dyDescent="0.25">
      <c r="A122" t="str">
        <f ca="1"/>
        <v>MEAL3 BZ Equity</v>
      </c>
      <c r="B122" t="str">
        <f ca="1"/>
        <v>2024-10-28</v>
      </c>
      <c r="C122" t="str">
        <f ca="1"/>
        <v>CUR_MKT_CAP</v>
      </c>
      <c r="D122" t="str">
        <f ca="1"/>
        <v>400.917300</v>
      </c>
      <c r="P122" t="s">
        <v>96</v>
      </c>
      <c r="R122" s="1"/>
    </row>
    <row r="123" spans="1:18" x14ac:dyDescent="0.25">
      <c r="A123" t="str">
        <f ca="1"/>
        <v>CURY3 BZ Equity</v>
      </c>
      <c r="B123" t="str">
        <f ca="1"/>
        <v>2024-10-28</v>
      </c>
      <c r="C123" t="str">
        <f ca="1"/>
        <v>CUR_MKT_CAP</v>
      </c>
      <c r="D123" t="str">
        <f ca="1"/>
        <v>7168.452000</v>
      </c>
      <c r="P123" t="s">
        <v>97</v>
      </c>
      <c r="R123" s="1"/>
    </row>
    <row r="124" spans="1:18" x14ac:dyDescent="0.25">
      <c r="A124" t="str">
        <f ca="1"/>
        <v>EQTL3 BZ Equity</v>
      </c>
      <c r="B124" t="str">
        <f ca="1"/>
        <v>2024-10-28</v>
      </c>
      <c r="C124" t="str">
        <f ca="1"/>
        <v>CUR_MKT_CAP</v>
      </c>
      <c r="D124" t="str">
        <f ca="1"/>
        <v>39688.793500</v>
      </c>
      <c r="P124" t="s">
        <v>98</v>
      </c>
      <c r="R124" s="1"/>
    </row>
    <row r="125" spans="1:18" x14ac:dyDescent="0.25">
      <c r="A125" t="str">
        <f ca="1"/>
        <v>MDIA3 BZ Equity</v>
      </c>
      <c r="B125" t="str">
        <f ca="1"/>
        <v>2024-10-28</v>
      </c>
      <c r="C125" t="str">
        <f ca="1"/>
        <v>CUR_MKT_CAP</v>
      </c>
      <c r="D125" t="str">
        <f ca="1"/>
        <v>8590.260100</v>
      </c>
      <c r="P125" t="s">
        <v>99</v>
      </c>
      <c r="R125" s="1"/>
    </row>
    <row r="126" spans="1:18" x14ac:dyDescent="0.25">
      <c r="A126" t="str">
        <f ca="1"/>
        <v>PINE4 BZ Equity</v>
      </c>
      <c r="B126" t="str">
        <f ca="1"/>
        <v>2024-10-28</v>
      </c>
      <c r="C126" t="str">
        <f ca="1"/>
        <v>CUR_MKT_CAP</v>
      </c>
      <c r="D126" t="str">
        <f ca="1"/>
        <v>1059.623300</v>
      </c>
      <c r="P126" t="s">
        <v>100</v>
      </c>
      <c r="R126" s="1"/>
    </row>
    <row r="127" spans="1:18" x14ac:dyDescent="0.25">
      <c r="A127" t="str">
        <f ca="1"/>
        <v>OIBR3 BZ Equity</v>
      </c>
      <c r="B127" t="str">
        <f ca="1"/>
        <v>2024-10-28</v>
      </c>
      <c r="C127" t="str">
        <f ca="1"/>
        <v>CUR_MKT_CAP</v>
      </c>
      <c r="D127" t="str">
        <f ca="1"/>
        <v>315.172800</v>
      </c>
      <c r="P127" t="s">
        <v>140</v>
      </c>
      <c r="R127" s="1"/>
    </row>
    <row r="128" spans="1:18" x14ac:dyDescent="0.25">
      <c r="A128" t="str">
        <f ca="1"/>
        <v>ENEV3 BZ Equity</v>
      </c>
      <c r="B128" t="str">
        <f ca="1"/>
        <v>2024-10-28</v>
      </c>
      <c r="C128" t="str">
        <f ca="1"/>
        <v>CUR_MKT_CAP</v>
      </c>
      <c r="D128" t="str">
        <f ca="1"/>
        <v>24297.803900</v>
      </c>
      <c r="P128" t="s">
        <v>101</v>
      </c>
      <c r="R128" s="1"/>
    </row>
    <row r="129" spans="1:18" x14ac:dyDescent="0.25">
      <c r="A129" t="str">
        <f ca="1"/>
        <v>SMFT3 BZ Equity</v>
      </c>
      <c r="B129" t="str">
        <f ca="1"/>
        <v>2024-10-28</v>
      </c>
      <c r="C129" t="str">
        <f ca="1"/>
        <v>CUR_MKT_CAP</v>
      </c>
      <c r="D129" t="str">
        <f ca="1"/>
        <v>12662.833700</v>
      </c>
      <c r="P129" t="s">
        <v>102</v>
      </c>
      <c r="R129" s="1"/>
    </row>
    <row r="130" spans="1:18" x14ac:dyDescent="0.25">
      <c r="A130" t="str">
        <f ca="1"/>
        <v>EMBR3 BZ Equity</v>
      </c>
      <c r="B130" t="str">
        <f ca="1"/>
        <v>2024-10-28</v>
      </c>
      <c r="C130" t="str">
        <f ca="1"/>
        <v>CUR_MKT_CAP</v>
      </c>
      <c r="D130" t="str">
        <f ca="1"/>
        <v>36423.474500</v>
      </c>
      <c r="P130" t="s">
        <v>166</v>
      </c>
      <c r="R130" s="1"/>
    </row>
    <row r="131" spans="1:18" x14ac:dyDescent="0.25">
      <c r="A131" t="str">
        <f ca="1"/>
        <v>ECOR3 BZ Equity</v>
      </c>
      <c r="B131" t="str">
        <f ca="1"/>
        <v>2024-10-28</v>
      </c>
      <c r="C131" t="str">
        <f ca="1"/>
        <v>CUR_MKT_CAP</v>
      </c>
      <c r="D131" t="str">
        <f ca="1"/>
        <v>4964.863100</v>
      </c>
      <c r="P131" t="s">
        <v>103</v>
      </c>
      <c r="R131" s="1"/>
    </row>
    <row r="132" spans="1:18" x14ac:dyDescent="0.25">
      <c r="A132" t="str">
        <f ca="1"/>
        <v>OPCT3 BZ Equity</v>
      </c>
      <c r="B132" t="str">
        <f ca="1"/>
        <v>2024-10-28</v>
      </c>
      <c r="C132" t="str">
        <f ca="1"/>
        <v>CUR_MKT_CAP</v>
      </c>
      <c r="D132" t="str">
        <f ca="1"/>
        <v>1277.741500</v>
      </c>
      <c r="P132" t="s">
        <v>104</v>
      </c>
      <c r="R132" s="1"/>
    </row>
    <row r="133" spans="1:18" x14ac:dyDescent="0.25">
      <c r="A133" t="str">
        <f ca="1"/>
        <v>GUAR3 BZ Equity</v>
      </c>
      <c r="B133" t="str">
        <f ca="1"/>
        <v>2024-10-28</v>
      </c>
      <c r="C133" t="str">
        <f ca="1"/>
        <v>CUR_MKT_CAP</v>
      </c>
      <c r="D133" t="str">
        <f ca="1"/>
        <v>4268.160100</v>
      </c>
      <c r="P133" t="s">
        <v>141</v>
      </c>
      <c r="R133" s="1"/>
    </row>
    <row r="134" spans="1:18" x14ac:dyDescent="0.25">
      <c r="A134" t="str">
        <f ca="1"/>
        <v>RAPT4 BZ Equity</v>
      </c>
      <c r="B134" t="str">
        <f ca="1"/>
        <v>2024-10-28</v>
      </c>
      <c r="C134" t="str">
        <f ca="1"/>
        <v>CUR_MKT_CAP</v>
      </c>
      <c r="D134" t="str">
        <f ca="1"/>
        <v>3415.844700</v>
      </c>
      <c r="P134" t="s">
        <v>105</v>
      </c>
      <c r="R134" s="1"/>
    </row>
    <row r="135" spans="1:18" x14ac:dyDescent="0.25">
      <c r="A135" t="str">
        <f ca="1"/>
        <v>CVCB3 BZ Equity</v>
      </c>
      <c r="B135" t="str">
        <f ca="1"/>
        <v>2024-10-28</v>
      </c>
      <c r="C135" t="str">
        <f ca="1"/>
        <v>CUR_MKT_CAP</v>
      </c>
      <c r="D135" t="str">
        <f ca="1"/>
        <v>1130.020900</v>
      </c>
      <c r="P135" t="s">
        <v>106</v>
      </c>
      <c r="R135" s="1"/>
    </row>
    <row r="136" spans="1:18" x14ac:dyDescent="0.25">
      <c r="A136" t="str">
        <f ca="1"/>
        <v>VTRU3 BZ Equity</v>
      </c>
      <c r="B136" t="str">
        <f ca="1"/>
        <v>2024-10-28</v>
      </c>
      <c r="C136" t="str">
        <f ca="1"/>
        <v>CUR_MKT_CAP</v>
      </c>
      <c r="D136" t="str">
        <f ca="1"/>
        <v>1223.652500</v>
      </c>
      <c r="P136" t="s">
        <v>107</v>
      </c>
      <c r="R136" s="1"/>
    </row>
    <row r="137" spans="1:18" x14ac:dyDescent="0.25">
      <c r="A137" t="str">
        <f ca="1"/>
        <v>EZTC3 BZ Equity</v>
      </c>
      <c r="B137" t="str">
        <f ca="1"/>
        <v>2024-10-28</v>
      </c>
      <c r="C137" t="str">
        <f ca="1"/>
        <v>CUR_MKT_CAP</v>
      </c>
      <c r="D137" t="str">
        <f ca="1"/>
        <v>3009.871600</v>
      </c>
      <c r="P137" t="s">
        <v>167</v>
      </c>
      <c r="R137" s="1"/>
    </row>
    <row r="138" spans="1:18" x14ac:dyDescent="0.25">
      <c r="A138" t="str">
        <f ca="1"/>
        <v>HBSA3 BZ Equity</v>
      </c>
      <c r="B138" t="str">
        <f ca="1"/>
        <v>2024-10-28</v>
      </c>
      <c r="C138" t="str">
        <f ca="1"/>
        <v>CUR_MKT_CAP</v>
      </c>
      <c r="D138" t="str">
        <f ca="1"/>
        <v>2463.639800</v>
      </c>
      <c r="P138" t="s">
        <v>168</v>
      </c>
      <c r="R138" s="1"/>
    </row>
    <row r="139" spans="1:18" x14ac:dyDescent="0.25">
      <c r="A139" t="str">
        <f ca="1"/>
        <v>TAEE11 BZ Equity</v>
      </c>
      <c r="B139" t="str">
        <f ca="1"/>
        <v>2024-10-28</v>
      </c>
      <c r="C139" t="str">
        <f ca="1"/>
        <v>CUR_MKT_CAP</v>
      </c>
      <c r="D139" t="str">
        <f ca="1"/>
        <v>11852.718300</v>
      </c>
      <c r="P139" t="s">
        <v>142</v>
      </c>
      <c r="R139" s="1"/>
    </row>
    <row r="140" spans="1:18" x14ac:dyDescent="0.25">
      <c r="A140" t="str">
        <f ca="1"/>
        <v>CSUD3 BZ Equity</v>
      </c>
      <c r="B140" t="str">
        <f ca="1"/>
        <v>2024-10-28</v>
      </c>
      <c r="C140" t="str">
        <f ca="1"/>
        <v>CUR_MKT_CAP</v>
      </c>
      <c r="D140" t="str">
        <f ca="1"/>
        <v>719.796000</v>
      </c>
      <c r="P140" t="s">
        <v>169</v>
      </c>
      <c r="R140" s="1"/>
    </row>
    <row r="141" spans="1:18" x14ac:dyDescent="0.25">
      <c r="A141" t="str">
        <f ca="1"/>
        <v>WEGE3 BZ Equity</v>
      </c>
      <c r="B141" t="str">
        <f ca="1"/>
        <v>2024-10-28</v>
      </c>
      <c r="C141" t="str">
        <f ca="1"/>
        <v>CUR_MKT_CAP</v>
      </c>
      <c r="D141" t="str">
        <f ca="1"/>
        <v>234797.963000</v>
      </c>
      <c r="P141" t="s">
        <v>108</v>
      </c>
      <c r="R141" s="1"/>
    </row>
    <row r="142" spans="1:18" x14ac:dyDescent="0.25">
      <c r="A142" t="str">
        <f ca="1"/>
        <v>NGRD3 BZ Equity</v>
      </c>
      <c r="B142" t="str">
        <f ca="1"/>
        <v>2024-10-28</v>
      </c>
      <c r="C142" t="str">
        <f ca="1"/>
        <v>CUR_MKT_CAP</v>
      </c>
      <c r="D142" t="str">
        <f ca="1"/>
        <v>223.039000</v>
      </c>
      <c r="P142" t="s">
        <v>109</v>
      </c>
      <c r="R142" s="1"/>
    </row>
    <row r="143" spans="1:18" x14ac:dyDescent="0.25">
      <c r="A143" t="str">
        <f ca="1"/>
        <v>CMIG4 BZ Equity</v>
      </c>
      <c r="B143" t="str">
        <f ca="1"/>
        <v>2024-10-28</v>
      </c>
      <c r="C143" t="str">
        <f ca="1"/>
        <v>CUR_MKT_CAP</v>
      </c>
      <c r="D143" t="str">
        <f ca="1"/>
        <v>35351.511900</v>
      </c>
      <c r="P143" t="s">
        <v>170</v>
      </c>
      <c r="R143" s="1"/>
    </row>
    <row r="144" spans="1:18" x14ac:dyDescent="0.25">
      <c r="A144" t="str">
        <f ca="1"/>
        <v>SCAR3 BZ Equity</v>
      </c>
      <c r="B144" t="str">
        <f ca="1"/>
        <v>2024-10-28</v>
      </c>
      <c r="C144" t="str">
        <f ca="1"/>
        <v>CUR_MKT_CAP</v>
      </c>
      <c r="D144" t="str">
        <f ca="1"/>
        <v>1255.786700</v>
      </c>
      <c r="P144" t="s">
        <v>171</v>
      </c>
      <c r="R144" s="1"/>
    </row>
    <row r="145" spans="1:18" x14ac:dyDescent="0.25">
      <c r="A145" t="str">
        <f ca="1"/>
        <v>VVEO3 BZ Equity</v>
      </c>
      <c r="B145" t="str">
        <f ca="1"/>
        <v>2024-10-28</v>
      </c>
      <c r="C145" t="str">
        <f ca="1"/>
        <v>CUR_MKT_CAP</v>
      </c>
      <c r="D145" t="str">
        <f ca="1"/>
        <v>681.151400</v>
      </c>
      <c r="P145" t="s">
        <v>110</v>
      </c>
      <c r="R145" s="1"/>
    </row>
    <row r="146" spans="1:18" x14ac:dyDescent="0.25">
      <c r="A146" t="str">
        <f ca="1"/>
        <v>GGPS3 BZ Equity</v>
      </c>
      <c r="B146" t="str">
        <f ca="1"/>
        <v>2024-10-28</v>
      </c>
      <c r="C146" t="str">
        <f ca="1"/>
        <v>CUR_MKT_CAP</v>
      </c>
      <c r="D146" t="str">
        <f ca="1"/>
        <v>11789.711700</v>
      </c>
      <c r="P146" t="s">
        <v>111</v>
      </c>
      <c r="R146" s="1"/>
    </row>
    <row r="147" spans="1:18" x14ac:dyDescent="0.25">
      <c r="A147" t="str">
        <f ca="1"/>
        <v>PRIO3 BZ Equity</v>
      </c>
      <c r="B147" t="str">
        <f ca="1"/>
        <v>2024-10-28</v>
      </c>
      <c r="C147" t="str">
        <f ca="1"/>
        <v>CUR_MKT_CAP</v>
      </c>
      <c r="D147" t="str">
        <f ca="1"/>
        <v>36297.917500</v>
      </c>
      <c r="P147" t="s">
        <v>41</v>
      </c>
      <c r="R147" s="1"/>
    </row>
    <row r="148" spans="1:18" x14ac:dyDescent="0.25">
      <c r="A148" t="str">
        <f ca="1"/>
        <v>CSNA3 BZ Equity</v>
      </c>
      <c r="B148" t="str">
        <f ca="1"/>
        <v>2024-10-28</v>
      </c>
      <c r="C148" t="str">
        <f ca="1"/>
        <v>CUR_MKT_CAP</v>
      </c>
      <c r="D148" t="str">
        <f ca="1"/>
        <v>15992.693600</v>
      </c>
      <c r="P148" t="s">
        <v>112</v>
      </c>
      <c r="R148" s="1"/>
    </row>
    <row r="149" spans="1:18" x14ac:dyDescent="0.25">
      <c r="A149" t="str">
        <f ca="1"/>
        <v>KLBN11 BZ Equity</v>
      </c>
      <c r="B149" t="str">
        <f ca="1"/>
        <v>2024-10-28</v>
      </c>
      <c r="C149" t="str">
        <f ca="1"/>
        <v>CUR_MKT_CAP</v>
      </c>
      <c r="D149" t="str">
        <f ca="1"/>
        <v>25691.479000</v>
      </c>
      <c r="P149" t="s">
        <v>113</v>
      </c>
      <c r="R149" s="1"/>
    </row>
    <row r="150" spans="1:18" x14ac:dyDescent="0.25">
      <c r="A150" t="str">
        <f ca="1"/>
        <v>ASAI3 BZ Equity</v>
      </c>
      <c r="B150" t="str">
        <f ca="1"/>
        <v>2024-10-28</v>
      </c>
      <c r="C150" t="str">
        <f ca="1"/>
        <v>CUR_MKT_CAP</v>
      </c>
      <c r="D150" t="str">
        <f ca="1"/>
        <v>10165.785600</v>
      </c>
      <c r="P150" t="s">
        <v>172</v>
      </c>
      <c r="R150" s="1"/>
    </row>
    <row r="151" spans="1:18" x14ac:dyDescent="0.25">
      <c r="A151" t="str">
        <f ca="1"/>
        <v>ALOS3 BZ Equity</v>
      </c>
      <c r="B151" t="str">
        <f ca="1"/>
        <v>2024-10-28</v>
      </c>
      <c r="C151" t="str">
        <f ca="1"/>
        <v>CUR_MKT_CAP</v>
      </c>
      <c r="D151" t="str">
        <f ca="1"/>
        <v>12015.193300</v>
      </c>
      <c r="P151" t="s">
        <v>114</v>
      </c>
      <c r="R151" s="1"/>
    </row>
    <row r="152" spans="1:18" x14ac:dyDescent="0.25">
      <c r="A152" t="str">
        <f ca="1"/>
        <v>BRKM3 BZ Equity</v>
      </c>
      <c r="B152" t="str">
        <f ca="1"/>
        <v>2024-10-28</v>
      </c>
      <c r="C152" t="str">
        <f ca="1"/>
        <v>CUR_MKT_CAP</v>
      </c>
      <c r="D152" t="str">
        <f ca="1"/>
        <v>14033.150300</v>
      </c>
      <c r="P152" t="s">
        <v>115</v>
      </c>
      <c r="R152" s="1"/>
    </row>
    <row r="153" spans="1:18" x14ac:dyDescent="0.25">
      <c r="A153" t="str">
        <f ca="1"/>
        <v>CLSC4 BZ Equity</v>
      </c>
      <c r="B153" t="str">
        <f ca="1"/>
        <v>2024-10-28</v>
      </c>
      <c r="C153" t="str">
        <f ca="1"/>
        <v>CUR_MKT_CAP</v>
      </c>
      <c r="D153" t="str">
        <f ca="1"/>
        <v>3080.713100</v>
      </c>
      <c r="P153" t="s">
        <v>173</v>
      </c>
      <c r="R153" s="1"/>
    </row>
    <row r="154" spans="1:18" x14ac:dyDescent="0.25">
      <c r="A154" t="str">
        <f ca="1"/>
        <v>EUCA4 BZ Equity</v>
      </c>
      <c r="B154" t="str">
        <f ca="1"/>
        <v>2024-10-28</v>
      </c>
      <c r="C154" t="str">
        <f ca="1"/>
        <v>CUR_MKT_CAP</v>
      </c>
      <c r="D154" t="str">
        <f ca="1"/>
        <v>1381.483900</v>
      </c>
      <c r="P154" t="s">
        <v>116</v>
      </c>
      <c r="R154" s="1"/>
    </row>
    <row r="155" spans="1:18" x14ac:dyDescent="0.25">
      <c r="A155" t="str">
        <f ca="1"/>
        <v>LPSB3 BZ Equity</v>
      </c>
      <c r="B155" t="str">
        <f ca="1"/>
        <v>2024-10-28</v>
      </c>
      <c r="C155" t="str">
        <f ca="1"/>
        <v>CUR_MKT_CAP</v>
      </c>
      <c r="D155" t="str">
        <f ca="1"/>
        <v>241.989600</v>
      </c>
      <c r="P155" t="s">
        <v>117</v>
      </c>
      <c r="R155" s="1"/>
    </row>
    <row r="156" spans="1:18" x14ac:dyDescent="0.25">
      <c r="A156" t="str">
        <f ca="1"/>
        <v>FRAS3 BZ Equity</v>
      </c>
      <c r="B156" t="str">
        <f ca="1"/>
        <v>2024-10-28</v>
      </c>
      <c r="C156" t="str">
        <f ca="1"/>
        <v>CUR_MKT_CAP</v>
      </c>
      <c r="D156" t="str">
        <f ca="1"/>
        <v>6048.366000</v>
      </c>
      <c r="P156" t="s">
        <v>118</v>
      </c>
      <c r="R156" s="1"/>
    </row>
    <row r="157" spans="1:18" x14ac:dyDescent="0.25">
      <c r="A157" t="str">
        <f ca="1"/>
        <v>CSMG3 BZ Equity</v>
      </c>
      <c r="B157" t="str">
        <f ca="1"/>
        <v>2024-10-28</v>
      </c>
      <c r="C157" t="str">
        <f ca="1"/>
        <v>CUR_MKT_CAP</v>
      </c>
      <c r="D157" t="str">
        <f ca="1"/>
        <v>8681.177500</v>
      </c>
      <c r="P157" t="s">
        <v>90</v>
      </c>
      <c r="R157" s="1"/>
    </row>
    <row r="158" spans="1:18" x14ac:dyDescent="0.25">
      <c r="A158" t="str">
        <f ca="1"/>
        <v>DMVF3 BZ Equity</v>
      </c>
      <c r="B158" t="str">
        <f ca="1"/>
        <v>2024-10-28</v>
      </c>
      <c r="C158" t="str">
        <f ca="1"/>
        <v>CUR_MKT_CAP</v>
      </c>
      <c r="D158" t="str">
        <f ca="1"/>
        <v>348.147600</v>
      </c>
      <c r="P158" t="s">
        <v>119</v>
      </c>
      <c r="R158" s="1"/>
    </row>
    <row r="159" spans="1:18" x14ac:dyDescent="0.25">
      <c r="A159" t="str">
        <f ca="1"/>
        <v>SOJA3 BZ Equity</v>
      </c>
      <c r="B159" t="str">
        <f ca="1"/>
        <v>2024-10-28</v>
      </c>
      <c r="C159" t="str">
        <f ca="1"/>
        <v>CUR_MKT_CAP</v>
      </c>
      <c r="D159" t="str">
        <f ca="1"/>
        <v>1686.113900</v>
      </c>
      <c r="P159" t="s">
        <v>174</v>
      </c>
      <c r="R159" s="1"/>
    </row>
    <row r="160" spans="1:18" x14ac:dyDescent="0.25">
      <c r="A160" t="str">
        <f ca="1"/>
        <v>TECN3 BZ Equity</v>
      </c>
      <c r="B160" t="str">
        <f ca="1"/>
        <v>2024-10-28</v>
      </c>
      <c r="C160" t="str">
        <f ca="1"/>
        <v>CUR_MKT_CAP</v>
      </c>
      <c r="D160" t="str">
        <f ca="1"/>
        <v>389.292600</v>
      </c>
      <c r="P160" t="s">
        <v>120</v>
      </c>
      <c r="R160" s="1"/>
    </row>
    <row r="161" spans="1:18" x14ac:dyDescent="0.25">
      <c r="A161" t="str">
        <f ca="1"/>
        <v>MDNE3 BZ Equity</v>
      </c>
      <c r="B161" t="str">
        <f ca="1"/>
        <v>2024-10-28</v>
      </c>
      <c r="C161" t="str">
        <f ca="1"/>
        <v>CUR_MKT_CAP</v>
      </c>
      <c r="D161" t="str">
        <f ca="1"/>
        <v>1323.737200</v>
      </c>
      <c r="P161" t="s">
        <v>121</v>
      </c>
      <c r="R161" s="1"/>
    </row>
    <row r="162" spans="1:18" x14ac:dyDescent="0.25">
      <c r="A162" t="str">
        <f ca="1"/>
        <v>LOGG3 BZ Equity</v>
      </c>
      <c r="B162" t="str">
        <f ca="1"/>
        <v>2024-10-28</v>
      </c>
      <c r="C162" t="str">
        <f ca="1"/>
        <v>CUR_MKT_CAP</v>
      </c>
      <c r="D162" t="str">
        <f ca="1"/>
        <v>1981.223900</v>
      </c>
      <c r="P162" t="s">
        <v>122</v>
      </c>
      <c r="R162" s="1"/>
    </row>
    <row r="163" spans="1:18" x14ac:dyDescent="0.25">
      <c r="A163" t="str">
        <f ca="1"/>
        <v>COCE5 BZ Equity</v>
      </c>
      <c r="B163" t="str">
        <f ca="1"/>
        <v>2024-10-28</v>
      </c>
      <c r="C163" t="str">
        <f ca="1"/>
        <v>CUR_MKT_CAP</v>
      </c>
      <c r="D163" t="str">
        <f ca="1"/>
        <v>2137.128000</v>
      </c>
      <c r="P163" t="s">
        <v>123</v>
      </c>
      <c r="R163" s="1"/>
    </row>
    <row r="164" spans="1:18" x14ac:dyDescent="0.25">
      <c r="A164" t="str">
        <f ca="1"/>
        <v>ORVR3 BZ Equity</v>
      </c>
      <c r="B164" t="str">
        <f ca="1"/>
        <v>2024-10-28</v>
      </c>
      <c r="C164" t="str">
        <f ca="1"/>
        <v>CUR_MKT_CAP</v>
      </c>
      <c r="D164" t="str">
        <f ca="1"/>
        <v>3924.406700</v>
      </c>
      <c r="P164" t="s">
        <v>124</v>
      </c>
      <c r="R164" s="1"/>
    </row>
    <row r="165" spans="1:18" x14ac:dyDescent="0.25">
      <c r="A165" t="str">
        <f ca="1"/>
        <v>WIZC3 BZ Equity</v>
      </c>
      <c r="B165" t="str">
        <f ca="1"/>
        <v>2024-10-28</v>
      </c>
      <c r="C165" t="str">
        <f ca="1"/>
        <v>CUR_MKT_CAP</v>
      </c>
      <c r="D165" t="str">
        <f ca="1"/>
        <v>933.858600</v>
      </c>
      <c r="P165" t="s">
        <v>125</v>
      </c>
      <c r="R165" s="1"/>
    </row>
    <row r="166" spans="1:18" x14ac:dyDescent="0.25">
      <c r="A166" t="str">
        <f ca="1"/>
        <v>TRPL4 BZ Equity</v>
      </c>
      <c r="B166" t="str">
        <f ca="1"/>
        <v>2024-10-28</v>
      </c>
      <c r="C166" t="str">
        <f ca="1"/>
        <v>CUR_MKT_CAP</v>
      </c>
      <c r="D166" t="str">
        <f ca="1"/>
        <v>17885.176700</v>
      </c>
      <c r="P166" t="s">
        <v>78</v>
      </c>
      <c r="R166" s="1"/>
    </row>
    <row r="167" spans="1:18" x14ac:dyDescent="0.25">
      <c r="A167" t="str">
        <f ca="1"/>
        <v>MTRE3 BZ Equity</v>
      </c>
      <c r="B167" t="str">
        <f ca="1"/>
        <v>2024-10-28</v>
      </c>
      <c r="C167" t="str">
        <f ca="1"/>
        <v>CUR_MKT_CAP</v>
      </c>
      <c r="D167" t="str">
        <f ca="1"/>
        <v>388.193600</v>
      </c>
      <c r="P167" t="s">
        <v>126</v>
      </c>
      <c r="R167" s="1"/>
    </row>
    <row r="168" spans="1:18" x14ac:dyDescent="0.25">
      <c r="A168" t="str">
        <f ca="1"/>
        <v>POSI3 BZ Equity</v>
      </c>
      <c r="B168" t="str">
        <f ca="1"/>
        <v>2024-10-28</v>
      </c>
      <c r="C168" t="str">
        <f ca="1"/>
        <v>CUR_MKT_CAP</v>
      </c>
      <c r="D168" t="str">
        <f ca="1"/>
        <v>938.716000</v>
      </c>
      <c r="P168" t="s">
        <v>136</v>
      </c>
      <c r="R168" s="1"/>
    </row>
    <row r="169" spans="1:18" x14ac:dyDescent="0.25">
      <c r="A169" t="str">
        <f ca="1"/>
        <v>BBDC3 BZ Equity</v>
      </c>
      <c r="B169" t="str">
        <f ca="1"/>
        <v>2024-10-28</v>
      </c>
      <c r="C169" t="str">
        <f ca="1"/>
        <v>CUR_MKT_CAP</v>
      </c>
      <c r="D169" t="str">
        <f ca="1"/>
        <v>151951.938300</v>
      </c>
      <c r="P169" t="s">
        <v>175</v>
      </c>
      <c r="R169" s="1"/>
    </row>
    <row r="170" spans="1:18" x14ac:dyDescent="0.25">
      <c r="A170" t="str">
        <f ca="1"/>
        <v>ITUB3 BZ Equity</v>
      </c>
      <c r="B170" t="str">
        <f ca="1"/>
        <v>2024-10-28</v>
      </c>
      <c r="C170" t="str">
        <f ca="1"/>
        <v>CUR_MKT_CAP</v>
      </c>
      <c r="D170" t="str">
        <f ca="1"/>
        <v>325220.676100</v>
      </c>
      <c r="P170" t="s">
        <v>127</v>
      </c>
      <c r="R170" s="1"/>
    </row>
    <row r="171" spans="1:18" x14ac:dyDescent="0.25">
      <c r="A171" t="str">
        <f ca="1"/>
        <v>SANB3 BZ Equity</v>
      </c>
      <c r="B171" t="str">
        <f ca="1"/>
        <v>2024-10-28</v>
      </c>
      <c r="C171" t="str">
        <f ca="1"/>
        <v>CUR_MKT_CAP</v>
      </c>
      <c r="D171" t="str">
        <f ca="1"/>
        <v>107390.728700</v>
      </c>
      <c r="P171" t="s">
        <v>128</v>
      </c>
      <c r="R171" s="1"/>
    </row>
    <row r="172" spans="1:18" x14ac:dyDescent="0.25">
      <c r="A172" t="str">
        <f ca="1"/>
        <v>JBSS3 BZ Equity</v>
      </c>
      <c r="B172" t="str">
        <f ca="1"/>
        <v>2024-10-28</v>
      </c>
      <c r="C172" t="str">
        <f ca="1"/>
        <v>CUR_MKT_CAP</v>
      </c>
      <c r="D172" t="str">
        <f ca="1"/>
        <v>79652.558500</v>
      </c>
      <c r="P172" t="s">
        <v>176</v>
      </c>
      <c r="R172" s="1"/>
    </row>
    <row r="173" spans="1:18" x14ac:dyDescent="0.25">
      <c r="A173" t="str">
        <f ca="1"/>
        <v>VALE3 BZ Equity</v>
      </c>
      <c r="B173" t="str">
        <f ca="1"/>
        <v>2024-10-28</v>
      </c>
      <c r="C173" t="str">
        <f ca="1"/>
        <v>CUR_MKT_CAP</v>
      </c>
      <c r="D173" t="str">
        <f ca="1"/>
        <v>284958.890300</v>
      </c>
      <c r="P173" t="s">
        <v>177</v>
      </c>
      <c r="R173" s="1"/>
    </row>
    <row r="174" spans="1:18" x14ac:dyDescent="0.25">
      <c r="A174" t="str">
        <f ca="1"/>
        <v>SUZB3 BZ Equity</v>
      </c>
      <c r="B174" t="str">
        <f ca="1"/>
        <v>2024-10-28</v>
      </c>
      <c r="C174" t="str">
        <f ca="1"/>
        <v>CUR_MKT_CAP</v>
      </c>
      <c r="D174" t="str">
        <f ca="1"/>
        <v>77516.749200</v>
      </c>
      <c r="P174" t="s">
        <v>129</v>
      </c>
      <c r="R174" s="1"/>
    </row>
    <row r="175" spans="1:18" x14ac:dyDescent="0.25">
      <c r="A175" t="str">
        <f ca="1"/>
        <v>GFSA3 BZ Equity</v>
      </c>
      <c r="B175" t="str">
        <f ca="1"/>
        <v>2024-10-28</v>
      </c>
      <c r="C175" t="str">
        <f ca="1"/>
        <v>CUR_MKT_CAP</v>
      </c>
      <c r="D175" t="str">
        <f ca="1"/>
        <v>198.251100</v>
      </c>
      <c r="P175" t="s">
        <v>130</v>
      </c>
      <c r="R175" s="1"/>
    </row>
    <row r="176" spans="1:18" x14ac:dyDescent="0.25">
      <c r="A176" t="str">
        <f ca="1"/>
        <v>ABEV3 BZ Equity</v>
      </c>
      <c r="B176" t="str">
        <f ca="1"/>
        <v>2024-10-28</v>
      </c>
      <c r="C176" t="str">
        <f ca="1"/>
        <v>CUR_MKT_CAP</v>
      </c>
      <c r="D176" t="str">
        <f ca="1"/>
        <v>203431.353800</v>
      </c>
      <c r="P176" t="s">
        <v>131</v>
      </c>
      <c r="R176" s="1"/>
    </row>
    <row r="177" spans="16:18" x14ac:dyDescent="0.25">
      <c r="P177" t="s">
        <v>132</v>
      </c>
      <c r="R177" s="1"/>
    </row>
    <row r="178" spans="16:18" x14ac:dyDescent="0.25">
      <c r="P178" t="s">
        <v>133</v>
      </c>
      <c r="R178" s="1"/>
    </row>
    <row r="179" spans="16:18" x14ac:dyDescent="0.25">
      <c r="P179" t="s">
        <v>178</v>
      </c>
      <c r="R179" s="1"/>
    </row>
    <row r="180" spans="16:18" x14ac:dyDescent="0.25">
      <c r="P180" t="s">
        <v>134</v>
      </c>
      <c r="R180" s="1"/>
    </row>
    <row r="181" spans="16:18" x14ac:dyDescent="0.25">
      <c r="P181" t="s">
        <v>135</v>
      </c>
      <c r="R181" s="1"/>
    </row>
    <row r="182" spans="16:18" x14ac:dyDescent="0.25">
      <c r="R182" s="1"/>
    </row>
    <row r="183" spans="16:18" x14ac:dyDescent="0.25">
      <c r="R183" s="1"/>
    </row>
    <row r="184" spans="16:18" x14ac:dyDescent="0.25">
      <c r="R184" s="1"/>
    </row>
    <row r="185" spans="16:18" x14ac:dyDescent="0.25">
      <c r="R185" s="1"/>
    </row>
    <row r="186" spans="16:18" x14ac:dyDescent="0.25">
      <c r="R186" s="1"/>
    </row>
    <row r="187" spans="16:18" x14ac:dyDescent="0.25">
      <c r="R187" s="1"/>
    </row>
    <row r="188" spans="16:18" x14ac:dyDescent="0.25">
      <c r="R188" s="1"/>
    </row>
    <row r="189" spans="16:18" x14ac:dyDescent="0.25">
      <c r="R189" s="1"/>
    </row>
    <row r="190" spans="16:18" x14ac:dyDescent="0.25">
      <c r="R190" s="1"/>
    </row>
    <row r="191" spans="16:18" x14ac:dyDescent="0.25">
      <c r="R191" s="1"/>
    </row>
    <row r="192" spans="16:18" x14ac:dyDescent="0.25">
      <c r="R192" s="1"/>
    </row>
    <row r="193" spans="18:18" x14ac:dyDescent="0.25">
      <c r="R193" s="1"/>
    </row>
    <row r="194" spans="18:18" x14ac:dyDescent="0.25">
      <c r="R194" s="1"/>
    </row>
    <row r="195" spans="18:18" x14ac:dyDescent="0.25">
      <c r="R195" s="1"/>
    </row>
    <row r="196" spans="18:18" x14ac:dyDescent="0.25">
      <c r="R196" s="1"/>
    </row>
    <row r="197" spans="18:18" x14ac:dyDescent="0.25">
      <c r="R197" s="1"/>
    </row>
    <row r="198" spans="18:18" x14ac:dyDescent="0.25">
      <c r="R198" s="1"/>
    </row>
    <row r="199" spans="18:18" x14ac:dyDescent="0.25">
      <c r="R199" s="1"/>
    </row>
    <row r="200" spans="18:18" x14ac:dyDescent="0.25">
      <c r="R200" s="1"/>
    </row>
    <row r="201" spans="18:18" x14ac:dyDescent="0.25">
      <c r="R201" s="1"/>
    </row>
    <row r="202" spans="18:18" x14ac:dyDescent="0.25">
      <c r="R202" s="1"/>
    </row>
    <row r="203" spans="18:18" x14ac:dyDescent="0.25">
      <c r="R203" s="1"/>
    </row>
    <row r="204" spans="18:18" x14ac:dyDescent="0.25">
      <c r="R204" s="1"/>
    </row>
    <row r="205" spans="18:18" x14ac:dyDescent="0.25">
      <c r="R205" s="1"/>
    </row>
    <row r="206" spans="18:18" x14ac:dyDescent="0.25">
      <c r="R206" s="1"/>
    </row>
    <row r="207" spans="18:18" x14ac:dyDescent="0.25">
      <c r="R207" s="1"/>
    </row>
    <row r="208" spans="18:18" x14ac:dyDescent="0.25">
      <c r="R208" s="1"/>
    </row>
    <row r="209" spans="18:18" x14ac:dyDescent="0.25">
      <c r="R209" s="1"/>
    </row>
    <row r="210" spans="18:18" x14ac:dyDescent="0.25">
      <c r="R210" s="1"/>
    </row>
    <row r="211" spans="18:18" x14ac:dyDescent="0.25">
      <c r="R211" s="1"/>
    </row>
    <row r="212" spans="18:18" x14ac:dyDescent="0.25">
      <c r="R212" s="1"/>
    </row>
    <row r="213" spans="18:18" x14ac:dyDescent="0.25">
      <c r="R213" s="1"/>
    </row>
    <row r="214" spans="18:18" x14ac:dyDescent="0.25">
      <c r="R214" s="1"/>
    </row>
    <row r="215" spans="18:18" x14ac:dyDescent="0.25">
      <c r="R215" s="1"/>
    </row>
    <row r="216" spans="18:18" x14ac:dyDescent="0.25">
      <c r="R216" s="1"/>
    </row>
    <row r="217" spans="18:18" x14ac:dyDescent="0.25">
      <c r="R217" s="1"/>
    </row>
    <row r="218" spans="18:18" x14ac:dyDescent="0.25">
      <c r="R218" s="1"/>
    </row>
    <row r="219" spans="18:18" x14ac:dyDescent="0.25">
      <c r="R219" s="1"/>
    </row>
    <row r="220" spans="18:18" x14ac:dyDescent="0.25">
      <c r="R220" s="1"/>
    </row>
    <row r="221" spans="18:18" x14ac:dyDescent="0.25">
      <c r="R221" s="1"/>
    </row>
    <row r="222" spans="18:18" x14ac:dyDescent="0.25">
      <c r="R222" s="1"/>
    </row>
    <row r="223" spans="18:18" x14ac:dyDescent="0.25">
      <c r="R223" s="1"/>
    </row>
    <row r="224" spans="18:18" x14ac:dyDescent="0.25">
      <c r="R224" s="1"/>
    </row>
    <row r="225" spans="18:18" x14ac:dyDescent="0.25">
      <c r="R225" s="1"/>
    </row>
    <row r="226" spans="18:18" x14ac:dyDescent="0.25">
      <c r="R226" s="1"/>
    </row>
    <row r="227" spans="18:18" x14ac:dyDescent="0.25">
      <c r="R227" s="1"/>
    </row>
    <row r="228" spans="18:18" x14ac:dyDescent="0.25">
      <c r="R228" s="1"/>
    </row>
    <row r="229" spans="18:18" x14ac:dyDescent="0.25">
      <c r="R229" s="1"/>
    </row>
    <row r="230" spans="18:18" x14ac:dyDescent="0.25">
      <c r="R230" s="1"/>
    </row>
    <row r="231" spans="18:18" x14ac:dyDescent="0.25">
      <c r="R231" s="1"/>
    </row>
    <row r="232" spans="18:18" x14ac:dyDescent="0.25">
      <c r="R232" s="1"/>
    </row>
    <row r="233" spans="18:18" x14ac:dyDescent="0.25">
      <c r="R233" s="1"/>
    </row>
    <row r="234" spans="18:18" x14ac:dyDescent="0.25">
      <c r="R234" s="1"/>
    </row>
    <row r="235" spans="18:18" x14ac:dyDescent="0.25">
      <c r="R235" s="1"/>
    </row>
    <row r="236" spans="18:18" x14ac:dyDescent="0.25">
      <c r="R236" s="1"/>
    </row>
    <row r="237" spans="18:18" x14ac:dyDescent="0.25">
      <c r="R237" s="1"/>
    </row>
    <row r="238" spans="18:18" x14ac:dyDescent="0.25">
      <c r="R238" s="1"/>
    </row>
    <row r="239" spans="18:18" x14ac:dyDescent="0.25">
      <c r="R239" s="1"/>
    </row>
    <row r="240" spans="18:18" x14ac:dyDescent="0.25">
      <c r="R240" s="1"/>
    </row>
    <row r="241" spans="18:18" x14ac:dyDescent="0.25">
      <c r="R241" s="1"/>
    </row>
    <row r="242" spans="18:18" x14ac:dyDescent="0.25">
      <c r="R242" s="1"/>
    </row>
    <row r="243" spans="18:18" x14ac:dyDescent="0.25">
      <c r="R243" s="1"/>
    </row>
    <row r="244" spans="18:18" x14ac:dyDescent="0.25">
      <c r="R244" s="1"/>
    </row>
    <row r="245" spans="18:18" x14ac:dyDescent="0.25">
      <c r="R245" s="1"/>
    </row>
    <row r="246" spans="18:18" x14ac:dyDescent="0.25">
      <c r="R246" s="1"/>
    </row>
    <row r="247" spans="18:18" x14ac:dyDescent="0.25">
      <c r="R247" s="1"/>
    </row>
    <row r="248" spans="18:18" x14ac:dyDescent="0.25">
      <c r="R248" s="1"/>
    </row>
    <row r="249" spans="18:18" x14ac:dyDescent="0.25">
      <c r="R249" s="1"/>
    </row>
    <row r="250" spans="18:18" x14ac:dyDescent="0.25">
      <c r="R250" s="1"/>
    </row>
    <row r="251" spans="18:18" x14ac:dyDescent="0.25">
      <c r="R251" s="1"/>
    </row>
    <row r="252" spans="18:18" x14ac:dyDescent="0.25">
      <c r="R252" s="1"/>
    </row>
    <row r="253" spans="18:18" x14ac:dyDescent="0.25">
      <c r="R253" s="1"/>
    </row>
    <row r="254" spans="18:18" x14ac:dyDescent="0.25">
      <c r="R254" s="1"/>
    </row>
    <row r="255" spans="18:18" x14ac:dyDescent="0.25">
      <c r="R255" s="1"/>
    </row>
    <row r="256" spans="18:18" x14ac:dyDescent="0.25">
      <c r="R256" s="1"/>
    </row>
    <row r="257" spans="18:18" x14ac:dyDescent="0.25">
      <c r="R257" s="1"/>
    </row>
    <row r="258" spans="18:18" x14ac:dyDescent="0.25">
      <c r="R258" s="1"/>
    </row>
    <row r="259" spans="18:18" x14ac:dyDescent="0.25">
      <c r="R259" s="1"/>
    </row>
    <row r="260" spans="18:18" x14ac:dyDescent="0.25">
      <c r="R260" s="1"/>
    </row>
    <row r="261" spans="18:18" x14ac:dyDescent="0.25">
      <c r="R261" s="1"/>
    </row>
    <row r="262" spans="18:18" x14ac:dyDescent="0.25">
      <c r="R262" s="1"/>
    </row>
    <row r="263" spans="18:18" x14ac:dyDescent="0.25">
      <c r="R263" s="1"/>
    </row>
    <row r="264" spans="18:18" x14ac:dyDescent="0.25">
      <c r="R264" s="1"/>
    </row>
    <row r="265" spans="18:18" x14ac:dyDescent="0.25">
      <c r="R265" s="1"/>
    </row>
    <row r="266" spans="18:18" x14ac:dyDescent="0.25">
      <c r="R266" s="1"/>
    </row>
    <row r="267" spans="18:18" x14ac:dyDescent="0.25">
      <c r="R267" s="1"/>
    </row>
    <row r="268" spans="18:18" x14ac:dyDescent="0.25">
      <c r="R268" s="1"/>
    </row>
    <row r="269" spans="18:18" x14ac:dyDescent="0.25">
      <c r="R269" s="1"/>
    </row>
    <row r="270" spans="18:18" x14ac:dyDescent="0.25">
      <c r="R270" s="1"/>
    </row>
    <row r="271" spans="18:18" x14ac:dyDescent="0.25">
      <c r="R271" s="1"/>
    </row>
    <row r="272" spans="18:18" x14ac:dyDescent="0.25">
      <c r="R272" s="1"/>
    </row>
    <row r="273" spans="18:18" x14ac:dyDescent="0.25">
      <c r="R273" s="1"/>
    </row>
    <row r="274" spans="18:18" x14ac:dyDescent="0.25">
      <c r="R274" s="1"/>
    </row>
    <row r="275" spans="18:18" x14ac:dyDescent="0.25">
      <c r="R275" s="1"/>
    </row>
    <row r="276" spans="18:18" x14ac:dyDescent="0.25">
      <c r="R276" s="1"/>
    </row>
    <row r="277" spans="18:18" x14ac:dyDescent="0.25">
      <c r="R277" s="1"/>
    </row>
    <row r="278" spans="18:18" x14ac:dyDescent="0.25">
      <c r="R278" s="1"/>
    </row>
    <row r="279" spans="18:18" x14ac:dyDescent="0.25">
      <c r="R279" s="1"/>
    </row>
    <row r="280" spans="18:18" x14ac:dyDescent="0.25">
      <c r="R280" s="1"/>
    </row>
    <row r="281" spans="18:18" x14ac:dyDescent="0.25">
      <c r="R281" s="1"/>
    </row>
    <row r="282" spans="18:18" x14ac:dyDescent="0.25">
      <c r="R282" s="1"/>
    </row>
    <row r="283" spans="18:18" x14ac:dyDescent="0.25">
      <c r="R283" s="1"/>
    </row>
    <row r="284" spans="18:18" x14ac:dyDescent="0.25">
      <c r="R284" s="1"/>
    </row>
    <row r="285" spans="18:18" x14ac:dyDescent="0.25">
      <c r="R285" s="1"/>
    </row>
    <row r="286" spans="18:18" x14ac:dyDescent="0.25">
      <c r="R286" s="1"/>
    </row>
    <row r="287" spans="18:18" x14ac:dyDescent="0.25">
      <c r="R287" s="1"/>
    </row>
    <row r="288" spans="18:18" x14ac:dyDescent="0.25">
      <c r="R288" s="1"/>
    </row>
    <row r="289" spans="18:18" x14ac:dyDescent="0.25">
      <c r="R289" s="1"/>
    </row>
    <row r="290" spans="18:18" x14ac:dyDescent="0.25">
      <c r="R290" s="1"/>
    </row>
    <row r="291" spans="18:18" x14ac:dyDescent="0.25">
      <c r="R291" s="1"/>
    </row>
    <row r="292" spans="18:18" x14ac:dyDescent="0.25">
      <c r="R292" s="1"/>
    </row>
    <row r="293" spans="18:18" x14ac:dyDescent="0.25">
      <c r="R293" s="1"/>
    </row>
    <row r="294" spans="18:18" x14ac:dyDescent="0.25">
      <c r="R294" s="1"/>
    </row>
    <row r="295" spans="18:18" x14ac:dyDescent="0.25">
      <c r="R295" s="1"/>
    </row>
    <row r="296" spans="18:18" x14ac:dyDescent="0.25">
      <c r="R296" s="1"/>
    </row>
    <row r="297" spans="18:18" x14ac:dyDescent="0.25">
      <c r="R297" s="1"/>
    </row>
    <row r="298" spans="18:18" x14ac:dyDescent="0.25">
      <c r="R298" s="1"/>
    </row>
    <row r="299" spans="18:18" x14ac:dyDescent="0.25">
      <c r="R299" s="1"/>
    </row>
    <row r="300" spans="18:18" x14ac:dyDescent="0.25">
      <c r="R300" s="1"/>
    </row>
    <row r="301" spans="18:18" x14ac:dyDescent="0.25">
      <c r="R301" s="1"/>
    </row>
    <row r="302" spans="18:18" x14ac:dyDescent="0.25">
      <c r="R302" s="1"/>
    </row>
    <row r="303" spans="18:18" x14ac:dyDescent="0.25">
      <c r="R303" s="1"/>
    </row>
    <row r="304" spans="18:18" x14ac:dyDescent="0.25">
      <c r="R304" s="1"/>
    </row>
    <row r="305" spans="18:18" x14ac:dyDescent="0.25">
      <c r="R305" s="1"/>
    </row>
    <row r="306" spans="18:18" x14ac:dyDescent="0.25">
      <c r="R306" s="1"/>
    </row>
    <row r="307" spans="18:18" x14ac:dyDescent="0.25">
      <c r="R307" s="1"/>
    </row>
    <row r="308" spans="18:18" x14ac:dyDescent="0.25">
      <c r="R308" s="1"/>
    </row>
    <row r="309" spans="18:18" x14ac:dyDescent="0.25">
      <c r="R309" s="1"/>
    </row>
    <row r="310" spans="18:18" x14ac:dyDescent="0.25">
      <c r="R310" s="1"/>
    </row>
    <row r="311" spans="18:18" x14ac:dyDescent="0.25">
      <c r="R311" s="1"/>
    </row>
    <row r="312" spans="18:18" x14ac:dyDescent="0.25">
      <c r="R312" s="1"/>
    </row>
    <row r="313" spans="18:18" x14ac:dyDescent="0.25">
      <c r="R313" s="1"/>
    </row>
    <row r="314" spans="18:18" x14ac:dyDescent="0.25">
      <c r="R314" s="1"/>
    </row>
    <row r="315" spans="18:18" x14ac:dyDescent="0.25">
      <c r="R315" s="1"/>
    </row>
    <row r="316" spans="18:18" x14ac:dyDescent="0.25">
      <c r="R316" s="1"/>
    </row>
    <row r="317" spans="18:18" x14ac:dyDescent="0.25">
      <c r="R317" s="1"/>
    </row>
    <row r="318" spans="18:18" x14ac:dyDescent="0.25">
      <c r="R318" s="1"/>
    </row>
    <row r="319" spans="18:18" x14ac:dyDescent="0.25">
      <c r="R319" s="1"/>
    </row>
    <row r="320" spans="18:18" x14ac:dyDescent="0.25">
      <c r="R320" s="1"/>
    </row>
    <row r="321" spans="18:18" x14ac:dyDescent="0.25">
      <c r="R321" s="1"/>
    </row>
    <row r="322" spans="18:18" x14ac:dyDescent="0.25">
      <c r="R322" s="1"/>
    </row>
    <row r="323" spans="18:18" x14ac:dyDescent="0.25">
      <c r="R323" s="1"/>
    </row>
    <row r="324" spans="18:18" x14ac:dyDescent="0.25">
      <c r="R324" s="1"/>
    </row>
    <row r="325" spans="18:18" x14ac:dyDescent="0.25">
      <c r="R325" s="1"/>
    </row>
    <row r="326" spans="18:18" x14ac:dyDescent="0.25">
      <c r="R326" s="1"/>
    </row>
    <row r="327" spans="18:18" x14ac:dyDescent="0.25">
      <c r="R327" s="1"/>
    </row>
    <row r="328" spans="18:18" x14ac:dyDescent="0.25">
      <c r="R328" s="1"/>
    </row>
    <row r="329" spans="18:18" x14ac:dyDescent="0.25">
      <c r="R329" s="1"/>
    </row>
    <row r="330" spans="18:18" x14ac:dyDescent="0.25">
      <c r="R330" s="1"/>
    </row>
    <row r="331" spans="18:18" x14ac:dyDescent="0.25">
      <c r="R331" s="1"/>
    </row>
    <row r="332" spans="18:18" x14ac:dyDescent="0.25">
      <c r="R332" s="1"/>
    </row>
    <row r="333" spans="18:18" x14ac:dyDescent="0.25">
      <c r="R333" s="1"/>
    </row>
    <row r="334" spans="18:18" x14ac:dyDescent="0.25">
      <c r="R334" s="1"/>
    </row>
    <row r="335" spans="18:18" x14ac:dyDescent="0.25">
      <c r="R335" s="1"/>
    </row>
    <row r="336" spans="18:18" x14ac:dyDescent="0.25">
      <c r="R336" s="1"/>
    </row>
    <row r="337" spans="18:18" x14ac:dyDescent="0.25">
      <c r="R337" s="1"/>
    </row>
    <row r="338" spans="18:18" x14ac:dyDescent="0.25">
      <c r="R338" s="1"/>
    </row>
    <row r="339" spans="18:18" x14ac:dyDescent="0.25">
      <c r="R339" s="1"/>
    </row>
    <row r="340" spans="18:18" x14ac:dyDescent="0.25">
      <c r="R340" s="1"/>
    </row>
    <row r="341" spans="18:18" x14ac:dyDescent="0.25">
      <c r="R341" s="1"/>
    </row>
    <row r="342" spans="18:18" x14ac:dyDescent="0.25">
      <c r="R342" s="1"/>
    </row>
    <row r="343" spans="18:18" x14ac:dyDescent="0.25">
      <c r="R343" s="1"/>
    </row>
    <row r="344" spans="18:18" x14ac:dyDescent="0.25">
      <c r="R344" s="1"/>
    </row>
    <row r="345" spans="18:18" x14ac:dyDescent="0.25">
      <c r="R345" s="1"/>
    </row>
    <row r="346" spans="18:18" x14ac:dyDescent="0.25">
      <c r="R346" s="1"/>
    </row>
    <row r="347" spans="18:18" x14ac:dyDescent="0.25">
      <c r="R347" s="1"/>
    </row>
    <row r="348" spans="18:18" x14ac:dyDescent="0.25">
      <c r="R348" s="1"/>
    </row>
    <row r="349" spans="18:18" x14ac:dyDescent="0.25">
      <c r="R349" s="1"/>
    </row>
    <row r="350" spans="18:18" x14ac:dyDescent="0.25">
      <c r="R350" s="1"/>
    </row>
    <row r="351" spans="18:18" x14ac:dyDescent="0.25">
      <c r="R351" s="1"/>
    </row>
    <row r="352" spans="18:18" x14ac:dyDescent="0.25">
      <c r="R352" s="1"/>
    </row>
    <row r="353" spans="18:18" x14ac:dyDescent="0.25">
      <c r="R353" s="1"/>
    </row>
    <row r="354" spans="18:18" x14ac:dyDescent="0.25">
      <c r="R354" s="1"/>
    </row>
    <row r="355" spans="18:18" x14ac:dyDescent="0.25">
      <c r="R355" s="1"/>
    </row>
    <row r="356" spans="18:18" x14ac:dyDescent="0.25">
      <c r="R356" s="1"/>
    </row>
    <row r="357" spans="18:18" x14ac:dyDescent="0.25">
      <c r="R357" s="1"/>
    </row>
    <row r="358" spans="18:18" x14ac:dyDescent="0.25">
      <c r="R358" s="1"/>
    </row>
    <row r="359" spans="18:18" x14ac:dyDescent="0.25">
      <c r="R359" s="1"/>
    </row>
    <row r="360" spans="18:18" x14ac:dyDescent="0.25">
      <c r="R360" s="1"/>
    </row>
    <row r="361" spans="18:18" x14ac:dyDescent="0.25">
      <c r="R361" s="1"/>
    </row>
    <row r="362" spans="18:18" x14ac:dyDescent="0.25">
      <c r="R362" s="1"/>
    </row>
    <row r="363" spans="18:18" x14ac:dyDescent="0.25">
      <c r="R363" s="1"/>
    </row>
    <row r="364" spans="18:18" x14ac:dyDescent="0.25">
      <c r="R364" s="1"/>
    </row>
    <row r="365" spans="18:18" x14ac:dyDescent="0.25">
      <c r="R365" s="1"/>
    </row>
    <row r="366" spans="18:18" x14ac:dyDescent="0.25">
      <c r="R366" s="1"/>
    </row>
    <row r="367" spans="18:18" x14ac:dyDescent="0.25">
      <c r="R367" s="1"/>
    </row>
    <row r="368" spans="18:18" x14ac:dyDescent="0.25">
      <c r="R368" s="1"/>
    </row>
    <row r="369" spans="18:18" x14ac:dyDescent="0.25">
      <c r="R369" s="1"/>
    </row>
    <row r="370" spans="18:18" x14ac:dyDescent="0.25">
      <c r="R370" s="1"/>
    </row>
    <row r="371" spans="18:18" x14ac:dyDescent="0.25">
      <c r="R371" s="1"/>
    </row>
    <row r="372" spans="18:18" x14ac:dyDescent="0.25">
      <c r="R372" s="1"/>
    </row>
    <row r="373" spans="18:18" x14ac:dyDescent="0.25">
      <c r="R373" s="1"/>
    </row>
    <row r="374" spans="18:18" x14ac:dyDescent="0.25">
      <c r="R374" s="1"/>
    </row>
    <row r="375" spans="18:18" x14ac:dyDescent="0.25">
      <c r="R375" s="1"/>
    </row>
    <row r="376" spans="18:18" x14ac:dyDescent="0.25">
      <c r="R376" s="1"/>
    </row>
    <row r="377" spans="18:18" x14ac:dyDescent="0.25">
      <c r="R377" s="1"/>
    </row>
    <row r="378" spans="18:18" x14ac:dyDescent="0.25">
      <c r="R378" s="1"/>
    </row>
    <row r="379" spans="18:18" x14ac:dyDescent="0.25">
      <c r="R379" s="1"/>
    </row>
    <row r="380" spans="18:18" x14ac:dyDescent="0.25">
      <c r="R380" s="1"/>
    </row>
    <row r="381" spans="18:18" x14ac:dyDescent="0.25">
      <c r="R381" s="1"/>
    </row>
    <row r="382" spans="18:18" x14ac:dyDescent="0.25">
      <c r="R382" s="1"/>
    </row>
    <row r="383" spans="18:18" x14ac:dyDescent="0.25">
      <c r="R383" s="1"/>
    </row>
    <row r="384" spans="18:18" x14ac:dyDescent="0.25">
      <c r="R384" s="1"/>
    </row>
    <row r="385" spans="18:18" x14ac:dyDescent="0.25">
      <c r="R385" s="1"/>
    </row>
    <row r="386" spans="18:18" x14ac:dyDescent="0.25">
      <c r="R386" s="1"/>
    </row>
    <row r="387" spans="18:18" x14ac:dyDescent="0.25">
      <c r="R387" s="1"/>
    </row>
    <row r="388" spans="18:18" x14ac:dyDescent="0.25">
      <c r="R388" s="1"/>
    </row>
    <row r="389" spans="18:18" x14ac:dyDescent="0.25">
      <c r="R389" s="1"/>
    </row>
    <row r="390" spans="18:18" x14ac:dyDescent="0.25">
      <c r="R390" s="1"/>
    </row>
    <row r="391" spans="18:18" x14ac:dyDescent="0.25">
      <c r="R391" s="1"/>
    </row>
    <row r="392" spans="18:18" x14ac:dyDescent="0.25">
      <c r="R392" s="1"/>
    </row>
    <row r="393" spans="18:18" x14ac:dyDescent="0.25">
      <c r="R393" s="1"/>
    </row>
    <row r="394" spans="18:18" x14ac:dyDescent="0.25">
      <c r="R394" s="1"/>
    </row>
    <row r="395" spans="18:18" x14ac:dyDescent="0.25">
      <c r="R395" s="1"/>
    </row>
    <row r="396" spans="18:18" x14ac:dyDescent="0.25">
      <c r="R396" s="1"/>
    </row>
    <row r="397" spans="18:18" x14ac:dyDescent="0.25">
      <c r="R397" s="1"/>
    </row>
    <row r="398" spans="18:18" x14ac:dyDescent="0.25">
      <c r="R398" s="1"/>
    </row>
    <row r="399" spans="18:18" x14ac:dyDescent="0.25">
      <c r="R399" s="1"/>
    </row>
    <row r="400" spans="18:18" x14ac:dyDescent="0.25">
      <c r="R400" s="1"/>
    </row>
    <row r="401" spans="18:18" x14ac:dyDescent="0.25">
      <c r="R401" s="1"/>
    </row>
    <row r="402" spans="18:18" x14ac:dyDescent="0.25">
      <c r="R402" s="1"/>
    </row>
    <row r="403" spans="18:18" x14ac:dyDescent="0.25">
      <c r="R403" s="1"/>
    </row>
    <row r="404" spans="18:18" x14ac:dyDescent="0.25">
      <c r="R404" s="1"/>
    </row>
    <row r="405" spans="18:18" x14ac:dyDescent="0.25">
      <c r="R405" s="1"/>
    </row>
    <row r="406" spans="18:18" x14ac:dyDescent="0.25">
      <c r="R406" s="1"/>
    </row>
    <row r="407" spans="18:18" x14ac:dyDescent="0.25">
      <c r="R407" s="1"/>
    </row>
    <row r="408" spans="18:18" x14ac:dyDescent="0.25">
      <c r="R408" s="1"/>
    </row>
    <row r="409" spans="18:18" x14ac:dyDescent="0.25">
      <c r="R409" s="1"/>
    </row>
    <row r="410" spans="18:18" x14ac:dyDescent="0.25">
      <c r="R410" s="1"/>
    </row>
    <row r="411" spans="18:18" x14ac:dyDescent="0.25">
      <c r="R411" s="1"/>
    </row>
    <row r="412" spans="18:18" x14ac:dyDescent="0.25">
      <c r="R412" s="1"/>
    </row>
    <row r="413" spans="18:18" x14ac:dyDescent="0.25">
      <c r="R413" s="1"/>
    </row>
    <row r="414" spans="18:18" x14ac:dyDescent="0.25">
      <c r="R414" s="1"/>
    </row>
    <row r="415" spans="18:18" x14ac:dyDescent="0.25">
      <c r="R415" s="1"/>
    </row>
    <row r="416" spans="18:18" x14ac:dyDescent="0.25">
      <c r="R416" s="1"/>
    </row>
    <row r="417" spans="18:18" x14ac:dyDescent="0.25">
      <c r="R417" s="1"/>
    </row>
    <row r="418" spans="18:18" x14ac:dyDescent="0.25">
      <c r="R418" s="1"/>
    </row>
    <row r="419" spans="18:18" x14ac:dyDescent="0.25">
      <c r="R419" s="1"/>
    </row>
    <row r="420" spans="18:18" x14ac:dyDescent="0.25">
      <c r="R420" s="1"/>
    </row>
    <row r="421" spans="18:18" x14ac:dyDescent="0.25">
      <c r="R421" s="1"/>
    </row>
    <row r="422" spans="18:18" x14ac:dyDescent="0.25">
      <c r="R422" s="1"/>
    </row>
    <row r="423" spans="18:18" x14ac:dyDescent="0.25">
      <c r="R423" s="1"/>
    </row>
    <row r="424" spans="18:18" x14ac:dyDescent="0.25">
      <c r="R424" s="1"/>
    </row>
    <row r="425" spans="18:18" x14ac:dyDescent="0.25">
      <c r="R425" s="1"/>
    </row>
    <row r="426" spans="18:18" x14ac:dyDescent="0.25">
      <c r="R426" s="1"/>
    </row>
    <row r="427" spans="18:18" x14ac:dyDescent="0.25">
      <c r="R427" s="1"/>
    </row>
    <row r="428" spans="18:18" x14ac:dyDescent="0.25">
      <c r="R428" s="1"/>
    </row>
    <row r="429" spans="18:18" x14ac:dyDescent="0.25">
      <c r="R429" s="1"/>
    </row>
    <row r="430" spans="18:18" x14ac:dyDescent="0.25">
      <c r="R430" s="1"/>
    </row>
    <row r="431" spans="18:18" x14ac:dyDescent="0.25">
      <c r="R431" s="1"/>
    </row>
    <row r="432" spans="18:18" x14ac:dyDescent="0.25">
      <c r="R432" s="1"/>
    </row>
    <row r="433" spans="18:18" x14ac:dyDescent="0.25">
      <c r="R433" s="1"/>
    </row>
    <row r="434" spans="18:18" x14ac:dyDescent="0.25">
      <c r="R434" s="1"/>
    </row>
    <row r="435" spans="18:18" x14ac:dyDescent="0.25">
      <c r="R435" s="1"/>
    </row>
    <row r="436" spans="18:18" x14ac:dyDescent="0.25">
      <c r="R436" s="1"/>
    </row>
    <row r="437" spans="18:18" x14ac:dyDescent="0.25">
      <c r="R437" s="1"/>
    </row>
    <row r="438" spans="18:18" x14ac:dyDescent="0.25">
      <c r="R438" s="1"/>
    </row>
    <row r="439" spans="18:18" x14ac:dyDescent="0.25">
      <c r="R439" s="1"/>
    </row>
    <row r="440" spans="18:18" x14ac:dyDescent="0.25">
      <c r="R440" s="1"/>
    </row>
    <row r="441" spans="18:18" x14ac:dyDescent="0.25">
      <c r="R441" s="1"/>
    </row>
    <row r="442" spans="18:18" x14ac:dyDescent="0.25">
      <c r="R442" s="1"/>
    </row>
    <row r="443" spans="18:18" x14ac:dyDescent="0.25">
      <c r="R443" s="1"/>
    </row>
    <row r="444" spans="18:18" x14ac:dyDescent="0.25">
      <c r="R444" s="1"/>
    </row>
    <row r="445" spans="18:18" x14ac:dyDescent="0.25">
      <c r="R445" s="1"/>
    </row>
    <row r="446" spans="18:18" x14ac:dyDescent="0.25">
      <c r="R446" s="1"/>
    </row>
    <row r="447" spans="18:18" x14ac:dyDescent="0.25">
      <c r="R447" s="1"/>
    </row>
    <row r="448" spans="18:18" x14ac:dyDescent="0.25">
      <c r="R448" s="1"/>
    </row>
    <row r="449" spans="18:18" x14ac:dyDescent="0.25">
      <c r="R449" s="1"/>
    </row>
    <row r="450" spans="18:18" x14ac:dyDescent="0.25">
      <c r="R450" s="1"/>
    </row>
    <row r="451" spans="18:18" x14ac:dyDescent="0.25">
      <c r="R451" s="1"/>
    </row>
    <row r="452" spans="18:18" x14ac:dyDescent="0.25">
      <c r="R452" s="1"/>
    </row>
    <row r="453" spans="18:18" x14ac:dyDescent="0.25">
      <c r="R453" s="1"/>
    </row>
    <row r="454" spans="18:18" x14ac:dyDescent="0.25">
      <c r="R454" s="1"/>
    </row>
    <row r="455" spans="18:18" x14ac:dyDescent="0.25">
      <c r="R455" s="1"/>
    </row>
    <row r="456" spans="18:18" x14ac:dyDescent="0.25">
      <c r="R456" s="1"/>
    </row>
    <row r="457" spans="18:18" x14ac:dyDescent="0.25">
      <c r="R457" s="1"/>
    </row>
    <row r="458" spans="18:18" x14ac:dyDescent="0.25">
      <c r="R458" s="1"/>
    </row>
    <row r="459" spans="18:18" x14ac:dyDescent="0.25">
      <c r="R459" s="1"/>
    </row>
    <row r="460" spans="18:18" x14ac:dyDescent="0.25">
      <c r="R460" s="1"/>
    </row>
    <row r="461" spans="18:18" x14ac:dyDescent="0.25">
      <c r="R461" s="1"/>
    </row>
    <row r="462" spans="18:18" x14ac:dyDescent="0.25">
      <c r="R462" s="1"/>
    </row>
    <row r="463" spans="18:18" x14ac:dyDescent="0.25">
      <c r="R463" s="1"/>
    </row>
    <row r="464" spans="18:18" x14ac:dyDescent="0.25">
      <c r="R464" s="1"/>
    </row>
    <row r="465" spans="18:18" x14ac:dyDescent="0.25">
      <c r="R465" s="1"/>
    </row>
    <row r="466" spans="18:18" x14ac:dyDescent="0.25">
      <c r="R466" s="1"/>
    </row>
    <row r="467" spans="18:18" x14ac:dyDescent="0.25">
      <c r="R467" s="1"/>
    </row>
    <row r="468" spans="18:18" x14ac:dyDescent="0.25">
      <c r="R468" s="1"/>
    </row>
    <row r="469" spans="18:18" x14ac:dyDescent="0.25">
      <c r="R469" s="1"/>
    </row>
    <row r="470" spans="18:18" x14ac:dyDescent="0.25">
      <c r="R470" s="1"/>
    </row>
    <row r="471" spans="18:18" x14ac:dyDescent="0.25">
      <c r="R471" s="1"/>
    </row>
    <row r="472" spans="18:18" x14ac:dyDescent="0.25">
      <c r="R472" s="1"/>
    </row>
    <row r="473" spans="18:18" x14ac:dyDescent="0.25">
      <c r="R473" s="1"/>
    </row>
    <row r="474" spans="18:18" x14ac:dyDescent="0.25">
      <c r="R474" s="1"/>
    </row>
    <row r="475" spans="18:18" x14ac:dyDescent="0.25">
      <c r="R475" s="1"/>
    </row>
    <row r="476" spans="18:18" x14ac:dyDescent="0.25">
      <c r="R476" s="1"/>
    </row>
    <row r="477" spans="18:18" x14ac:dyDescent="0.25">
      <c r="R477" s="1"/>
    </row>
    <row r="478" spans="18:18" x14ac:dyDescent="0.25">
      <c r="R478" s="1"/>
    </row>
    <row r="479" spans="18:18" x14ac:dyDescent="0.25">
      <c r="R479" s="1"/>
    </row>
    <row r="480" spans="18:18" x14ac:dyDescent="0.25">
      <c r="R480" s="1"/>
    </row>
    <row r="481" spans="18:18" x14ac:dyDescent="0.25">
      <c r="R481" s="1"/>
    </row>
    <row r="482" spans="18:18" x14ac:dyDescent="0.25">
      <c r="R482" s="1"/>
    </row>
    <row r="483" spans="18:18" x14ac:dyDescent="0.25">
      <c r="R483" s="1"/>
    </row>
    <row r="484" spans="18:18" x14ac:dyDescent="0.25">
      <c r="R484" s="1"/>
    </row>
    <row r="485" spans="18:18" x14ac:dyDescent="0.25">
      <c r="R485" s="1"/>
    </row>
    <row r="486" spans="18:18" x14ac:dyDescent="0.25">
      <c r="R486" s="1"/>
    </row>
    <row r="487" spans="18:18" x14ac:dyDescent="0.25">
      <c r="R487" s="1"/>
    </row>
    <row r="488" spans="18:18" x14ac:dyDescent="0.25">
      <c r="R488" s="1"/>
    </row>
    <row r="489" spans="18:18" x14ac:dyDescent="0.25">
      <c r="R489" s="1"/>
    </row>
    <row r="490" spans="18:18" x14ac:dyDescent="0.25">
      <c r="R490" s="1"/>
    </row>
    <row r="491" spans="18:18" x14ac:dyDescent="0.25">
      <c r="R491" s="1"/>
    </row>
    <row r="492" spans="18:18" x14ac:dyDescent="0.25">
      <c r="R492" s="1"/>
    </row>
    <row r="493" spans="18:18" x14ac:dyDescent="0.25">
      <c r="R493" s="1"/>
    </row>
    <row r="494" spans="18:18" x14ac:dyDescent="0.25">
      <c r="R494" s="1"/>
    </row>
    <row r="495" spans="18:18" x14ac:dyDescent="0.25">
      <c r="R495" s="1"/>
    </row>
    <row r="496" spans="18:18" x14ac:dyDescent="0.25">
      <c r="R496" s="1"/>
    </row>
    <row r="497" spans="18:18" x14ac:dyDescent="0.25">
      <c r="R497" s="1"/>
    </row>
    <row r="498" spans="18:18" x14ac:dyDescent="0.25">
      <c r="R498" s="1"/>
    </row>
    <row r="499" spans="18:18" x14ac:dyDescent="0.25">
      <c r="R499" s="1"/>
    </row>
    <row r="500" spans="18:18" x14ac:dyDescent="0.25">
      <c r="R500" s="1"/>
    </row>
    <row r="501" spans="18:18" x14ac:dyDescent="0.25">
      <c r="R501" s="1"/>
    </row>
    <row r="502" spans="18:18" x14ac:dyDescent="0.25">
      <c r="R502" s="1"/>
    </row>
    <row r="503" spans="18:18" x14ac:dyDescent="0.25">
      <c r="R503" s="1"/>
    </row>
    <row r="504" spans="18:18" x14ac:dyDescent="0.25">
      <c r="R504" s="1"/>
    </row>
    <row r="505" spans="18:18" x14ac:dyDescent="0.25">
      <c r="R505" s="1"/>
    </row>
    <row r="506" spans="18:18" x14ac:dyDescent="0.25">
      <c r="R506" s="1"/>
    </row>
    <row r="507" spans="18:18" x14ac:dyDescent="0.25">
      <c r="R507" s="1"/>
    </row>
    <row r="508" spans="18:18" x14ac:dyDescent="0.25">
      <c r="R508" s="1"/>
    </row>
    <row r="509" spans="18:18" x14ac:dyDescent="0.25">
      <c r="R509" s="1"/>
    </row>
    <row r="510" spans="18:18" x14ac:dyDescent="0.25">
      <c r="R510" s="1"/>
    </row>
    <row r="511" spans="18:18" x14ac:dyDescent="0.25">
      <c r="R511" s="1"/>
    </row>
    <row r="512" spans="18:18" x14ac:dyDescent="0.25">
      <c r="R512" s="1"/>
    </row>
    <row r="513" spans="18:18" x14ac:dyDescent="0.25">
      <c r="R513" s="1"/>
    </row>
    <row r="514" spans="18:18" x14ac:dyDescent="0.25">
      <c r="R514" s="1"/>
    </row>
    <row r="515" spans="18:18" x14ac:dyDescent="0.25">
      <c r="R515" s="1"/>
    </row>
    <row r="516" spans="18:18" x14ac:dyDescent="0.25">
      <c r="R516" s="1"/>
    </row>
    <row r="517" spans="18:18" x14ac:dyDescent="0.25">
      <c r="R517" s="1"/>
    </row>
    <row r="518" spans="18:18" x14ac:dyDescent="0.25">
      <c r="R518" s="1"/>
    </row>
    <row r="519" spans="18:18" x14ac:dyDescent="0.25">
      <c r="R519" s="1"/>
    </row>
    <row r="520" spans="18:18" x14ac:dyDescent="0.25">
      <c r="R520" s="1"/>
    </row>
    <row r="521" spans="18:18" x14ac:dyDescent="0.25">
      <c r="R521" s="1"/>
    </row>
    <row r="522" spans="18:18" x14ac:dyDescent="0.25">
      <c r="R522" s="1"/>
    </row>
    <row r="523" spans="18:18" x14ac:dyDescent="0.25">
      <c r="R523" s="1"/>
    </row>
    <row r="524" spans="18:18" x14ac:dyDescent="0.25">
      <c r="R524" s="1"/>
    </row>
    <row r="525" spans="18:18" x14ac:dyDescent="0.25">
      <c r="R525" s="1"/>
    </row>
    <row r="526" spans="18:18" x14ac:dyDescent="0.25">
      <c r="R526" s="1"/>
    </row>
    <row r="527" spans="18:18" x14ac:dyDescent="0.25">
      <c r="R527" s="1"/>
    </row>
    <row r="528" spans="18:18" x14ac:dyDescent="0.25">
      <c r="R528" s="1"/>
    </row>
    <row r="529" spans="18:18" x14ac:dyDescent="0.25">
      <c r="R529" s="1"/>
    </row>
    <row r="530" spans="18:18" x14ac:dyDescent="0.25">
      <c r="R530" s="1"/>
    </row>
    <row r="531" spans="18:18" x14ac:dyDescent="0.25">
      <c r="R531" s="1"/>
    </row>
    <row r="532" spans="18:18" x14ac:dyDescent="0.25">
      <c r="R532" s="1"/>
    </row>
    <row r="533" spans="18:18" x14ac:dyDescent="0.25">
      <c r="R533" s="1"/>
    </row>
    <row r="534" spans="18:18" x14ac:dyDescent="0.25">
      <c r="R534" s="1"/>
    </row>
    <row r="535" spans="18:18" x14ac:dyDescent="0.25">
      <c r="R535" s="1"/>
    </row>
    <row r="536" spans="18:18" x14ac:dyDescent="0.25">
      <c r="R536" s="1"/>
    </row>
    <row r="537" spans="18:18" x14ac:dyDescent="0.25">
      <c r="R537" s="1"/>
    </row>
    <row r="538" spans="18:18" x14ac:dyDescent="0.25">
      <c r="R538" s="1"/>
    </row>
    <row r="539" spans="18:18" x14ac:dyDescent="0.25">
      <c r="R539" s="1"/>
    </row>
    <row r="540" spans="18:18" x14ac:dyDescent="0.25">
      <c r="R540" s="1"/>
    </row>
    <row r="541" spans="18:18" x14ac:dyDescent="0.25">
      <c r="R541" s="1"/>
    </row>
    <row r="542" spans="18:18" x14ac:dyDescent="0.25">
      <c r="R542" s="1"/>
    </row>
    <row r="543" spans="18:18" x14ac:dyDescent="0.25">
      <c r="R543" s="1"/>
    </row>
    <row r="544" spans="18:18" x14ac:dyDescent="0.25">
      <c r="R544" s="1"/>
    </row>
    <row r="545" spans="18:18" x14ac:dyDescent="0.25">
      <c r="R545" s="1"/>
    </row>
    <row r="546" spans="18:18" x14ac:dyDescent="0.25">
      <c r="R546" s="1"/>
    </row>
    <row r="547" spans="18:18" x14ac:dyDescent="0.25">
      <c r="R547" s="1"/>
    </row>
    <row r="548" spans="18:18" x14ac:dyDescent="0.25">
      <c r="R548" s="1"/>
    </row>
    <row r="549" spans="18:18" x14ac:dyDescent="0.25">
      <c r="R549" s="1"/>
    </row>
    <row r="550" spans="18:18" x14ac:dyDescent="0.25">
      <c r="R550" s="1"/>
    </row>
    <row r="551" spans="18:18" x14ac:dyDescent="0.25">
      <c r="R551" s="1"/>
    </row>
    <row r="552" spans="18:18" x14ac:dyDescent="0.25">
      <c r="R552" s="1"/>
    </row>
    <row r="553" spans="18:18" x14ac:dyDescent="0.25">
      <c r="R553" s="1"/>
    </row>
    <row r="554" spans="18:18" x14ac:dyDescent="0.25">
      <c r="R554" s="1"/>
    </row>
    <row r="555" spans="18:18" x14ac:dyDescent="0.25">
      <c r="R555" s="1"/>
    </row>
    <row r="556" spans="18:18" x14ac:dyDescent="0.25">
      <c r="R556" s="1"/>
    </row>
    <row r="557" spans="18:18" x14ac:dyDescent="0.25">
      <c r="R557" s="1"/>
    </row>
    <row r="558" spans="18:18" x14ac:dyDescent="0.25">
      <c r="R558" s="1"/>
    </row>
    <row r="559" spans="18:18" x14ac:dyDescent="0.25">
      <c r="R559" s="1"/>
    </row>
    <row r="560" spans="18:18" x14ac:dyDescent="0.25">
      <c r="R560" s="1"/>
    </row>
    <row r="561" spans="18:18" x14ac:dyDescent="0.25">
      <c r="R561" s="1"/>
    </row>
    <row r="562" spans="18:18" x14ac:dyDescent="0.25">
      <c r="R562" s="1"/>
    </row>
    <row r="563" spans="18:18" x14ac:dyDescent="0.25">
      <c r="R563" s="1"/>
    </row>
    <row r="564" spans="18:18" x14ac:dyDescent="0.25">
      <c r="R564" s="1"/>
    </row>
    <row r="565" spans="18:18" x14ac:dyDescent="0.25">
      <c r="R565" s="1"/>
    </row>
    <row r="566" spans="18:18" x14ac:dyDescent="0.25">
      <c r="R566" s="1"/>
    </row>
    <row r="567" spans="18:18" x14ac:dyDescent="0.25">
      <c r="R567" s="1"/>
    </row>
    <row r="568" spans="18:18" x14ac:dyDescent="0.25">
      <c r="R568" s="1"/>
    </row>
    <row r="569" spans="18:18" x14ac:dyDescent="0.25">
      <c r="R569" s="1"/>
    </row>
    <row r="570" spans="18:18" x14ac:dyDescent="0.25">
      <c r="R570" s="1"/>
    </row>
    <row r="571" spans="18:18" x14ac:dyDescent="0.25">
      <c r="R571" s="1"/>
    </row>
    <row r="572" spans="18:18" x14ac:dyDescent="0.25">
      <c r="R572" s="1"/>
    </row>
    <row r="573" spans="18:18" x14ac:dyDescent="0.25">
      <c r="R573" s="1"/>
    </row>
    <row r="574" spans="18:18" x14ac:dyDescent="0.25">
      <c r="R574" s="1"/>
    </row>
    <row r="575" spans="18:18" x14ac:dyDescent="0.25">
      <c r="R575" s="1"/>
    </row>
    <row r="576" spans="18:18" x14ac:dyDescent="0.25">
      <c r="R576" s="1"/>
    </row>
    <row r="577" spans="18:18" x14ac:dyDescent="0.25">
      <c r="R577" s="1"/>
    </row>
    <row r="578" spans="18:18" x14ac:dyDescent="0.25">
      <c r="R578" s="1"/>
    </row>
    <row r="579" spans="18:18" x14ac:dyDescent="0.25">
      <c r="R579" s="1"/>
    </row>
    <row r="580" spans="18:18" x14ac:dyDescent="0.25">
      <c r="R580" s="1"/>
    </row>
    <row r="581" spans="18:18" x14ac:dyDescent="0.25">
      <c r="R581" s="1"/>
    </row>
    <row r="582" spans="18:18" x14ac:dyDescent="0.25">
      <c r="R582" s="1"/>
    </row>
    <row r="583" spans="18:18" x14ac:dyDescent="0.25">
      <c r="R583" s="1"/>
    </row>
    <row r="584" spans="18:18" x14ac:dyDescent="0.25">
      <c r="R584" s="1"/>
    </row>
    <row r="585" spans="18:18" x14ac:dyDescent="0.25">
      <c r="R585" s="1"/>
    </row>
    <row r="586" spans="18:18" x14ac:dyDescent="0.25">
      <c r="R586" s="1"/>
    </row>
    <row r="587" spans="18:18" x14ac:dyDescent="0.25">
      <c r="R587" s="1"/>
    </row>
    <row r="588" spans="18:18" x14ac:dyDescent="0.25">
      <c r="R588" s="1"/>
    </row>
    <row r="589" spans="18:18" x14ac:dyDescent="0.25">
      <c r="R589" s="1"/>
    </row>
    <row r="590" spans="18:18" x14ac:dyDescent="0.25">
      <c r="R590" s="1"/>
    </row>
    <row r="591" spans="18:18" x14ac:dyDescent="0.25">
      <c r="R591" s="1"/>
    </row>
    <row r="592" spans="18:18" x14ac:dyDescent="0.25">
      <c r="R592" s="1"/>
    </row>
    <row r="593" spans="18:18" x14ac:dyDescent="0.25">
      <c r="R593" s="1"/>
    </row>
    <row r="594" spans="18:18" x14ac:dyDescent="0.25">
      <c r="R594" s="1"/>
    </row>
    <row r="595" spans="18:18" x14ac:dyDescent="0.25">
      <c r="R595" s="1"/>
    </row>
    <row r="596" spans="18:18" x14ac:dyDescent="0.25">
      <c r="R596" s="1"/>
    </row>
    <row r="597" spans="18:18" x14ac:dyDescent="0.25">
      <c r="R597" s="1"/>
    </row>
    <row r="598" spans="18:18" x14ac:dyDescent="0.25">
      <c r="R598" s="1"/>
    </row>
    <row r="599" spans="18:18" x14ac:dyDescent="0.25">
      <c r="R599" s="1"/>
    </row>
    <row r="600" spans="18:18" x14ac:dyDescent="0.25">
      <c r="R600" s="1"/>
    </row>
    <row r="601" spans="18:18" x14ac:dyDescent="0.25">
      <c r="R601" s="1"/>
    </row>
    <row r="602" spans="18:18" x14ac:dyDescent="0.25">
      <c r="R602" s="1"/>
    </row>
    <row r="603" spans="18:18" x14ac:dyDescent="0.25">
      <c r="R603" s="1"/>
    </row>
    <row r="604" spans="18:18" x14ac:dyDescent="0.25">
      <c r="R604" s="1"/>
    </row>
    <row r="605" spans="18:18" x14ac:dyDescent="0.25">
      <c r="R605" s="1"/>
    </row>
    <row r="606" spans="18:18" x14ac:dyDescent="0.25">
      <c r="R606" s="1"/>
    </row>
    <row r="607" spans="18:18" x14ac:dyDescent="0.25">
      <c r="R607" s="1"/>
    </row>
    <row r="608" spans="18:18" x14ac:dyDescent="0.25">
      <c r="R608" s="1"/>
    </row>
    <row r="609" spans="16:18" x14ac:dyDescent="0.25">
      <c r="R609" s="1"/>
    </row>
    <row r="610" spans="16:18" x14ac:dyDescent="0.25">
      <c r="R610" s="1"/>
    </row>
    <row r="611" spans="16:18" x14ac:dyDescent="0.25">
      <c r="R611" s="1"/>
    </row>
    <row r="612" spans="16:18" x14ac:dyDescent="0.25">
      <c r="R612" s="1"/>
    </row>
    <row r="613" spans="16:18" x14ac:dyDescent="0.25">
      <c r="R613" s="1"/>
    </row>
    <row r="614" spans="16:18" x14ac:dyDescent="0.25">
      <c r="R614" s="1"/>
    </row>
    <row r="615" spans="16:18" x14ac:dyDescent="0.25">
      <c r="R615" s="1"/>
    </row>
    <row r="616" spans="16:18" x14ac:dyDescent="0.25">
      <c r="R616" s="1"/>
    </row>
    <row r="617" spans="16:18" x14ac:dyDescent="0.25">
      <c r="R617" s="1"/>
    </row>
    <row r="618" spans="16:18" x14ac:dyDescent="0.25">
      <c r="R618" s="1"/>
    </row>
    <row r="619" spans="16:18" x14ac:dyDescent="0.25">
      <c r="R619" s="1"/>
    </row>
    <row r="620" spans="16:18" x14ac:dyDescent="0.25">
      <c r="R620" s="1"/>
    </row>
    <row r="621" spans="16:18" x14ac:dyDescent="0.25">
      <c r="P621" s="1" t="s">
        <v>1</v>
      </c>
      <c r="Q621" t="s">
        <v>2</v>
      </c>
    </row>
    <row r="624" spans="16:18" x14ac:dyDescent="0.25">
      <c r="R624" s="1"/>
    </row>
    <row r="625" spans="18:18" x14ac:dyDescent="0.25">
      <c r="R625" s="1"/>
    </row>
    <row r="626" spans="18:18" x14ac:dyDescent="0.25">
      <c r="R626" s="1"/>
    </row>
    <row r="627" spans="18:18" x14ac:dyDescent="0.25">
      <c r="R627" s="1"/>
    </row>
    <row r="629" spans="18:18" x14ac:dyDescent="0.25">
      <c r="R629" s="2"/>
    </row>
    <row r="630" spans="18:18" x14ac:dyDescent="0.25">
      <c r="R63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netinc</vt:lpstr>
      <vt:lpstr>Sheet2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Ruhany Aragão</dc:creator>
  <cp:keywords/>
  <dc:description/>
  <cp:lastModifiedBy>Antônio Farah</cp:lastModifiedBy>
  <cp:revision/>
  <dcterms:created xsi:type="dcterms:W3CDTF">2024-06-13T20:08:49Z</dcterms:created>
  <dcterms:modified xsi:type="dcterms:W3CDTF">2024-10-28T17:08:01Z</dcterms:modified>
  <cp:category/>
  <cp:contentStatus/>
</cp:coreProperties>
</file>